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F:\Dev\EV_ERP\SourceCode\EV_ERP\EV_ERP\wwwroot\templates\"/>
    </mc:Choice>
  </mc:AlternateContent>
  <xr:revisionPtr revIDLastSave="0" documentId="13_ncr:1_{AA8312FE-8B1D-4747-93DA-8922DC8B9C4C}" xr6:coauthVersionLast="47" xr6:coauthVersionMax="47" xr10:uidLastSave="{00000000-0000-0000-0000-000000000000}"/>
  <bookViews>
    <workbookView xWindow="-108" yWindow="-108" windowWidth="23256" windowHeight="12576" xr2:uid="{00000000-000D-0000-FFFF-FFFF00000000}"/>
  </bookViews>
  <sheets>
    <sheet name="ĐNTT" sheetId="3" r:id="rId1"/>
  </sheets>
  <definedNames>
    <definedName name="_xlnm.Print_Area" localSheetId="0">ĐNTT!$A$1:$W$22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 i="3" l="1"/>
  <c r="N13" i="3"/>
  <c r="L13" i="3"/>
  <c r="R12" i="3" l="1"/>
  <c r="U12" i="3"/>
  <c r="T12" i="3"/>
  <c r="P12" i="3"/>
  <c r="Q12" i="3" s="1"/>
  <c r="Q13" i="3" s="1"/>
  <c r="C9" i="3"/>
  <c r="S12" i="3" l="1"/>
  <c r="S13" i="3" s="1"/>
  <c r="C10" i="3" l="1"/>
  <c r="C7" i="3"/>
  <c r="C6" i="3" l="1"/>
  <c r="A22" i="3" s="1"/>
  <c r="C8" i="3"/>
  <c r="G13" i="3"/>
  <c r="E13" i="3"/>
  <c r="H12" i="3"/>
  <c r="E14" i="3" l="1"/>
  <c r="H13" i="3"/>
  <c r="O12" i="3" l="1"/>
  <c r="O13" i="3" s="1"/>
  <c r="T13" i="3" l="1"/>
  <c r="O14" i="3"/>
  <c r="S16" i="3" l="1"/>
  <c r="H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4" authorId="0" shapeId="0" xr:uid="{00000000-0006-0000-0200-000001000000}">
      <text>
        <r>
          <rPr>
            <b/>
            <sz val="16"/>
            <color indexed="81"/>
            <rFont val="Tahoma"/>
            <family val="2"/>
          </rPr>
          <t>Admin:</t>
        </r>
        <r>
          <rPr>
            <sz val="16"/>
            <color indexed="81"/>
            <rFont val="Tahoma"/>
            <family val="2"/>
          </rPr>
          <t xml:space="preserve">
</t>
        </r>
        <r>
          <rPr>
            <b/>
            <u/>
            <sz val="16"/>
            <color indexed="81"/>
            <rFont val="Tahoma"/>
            <family val="2"/>
          </rPr>
          <t>Quy định các Đề nghị như sau:</t>
        </r>
        <r>
          <rPr>
            <sz val="16"/>
            <color indexed="81"/>
            <rFont val="Tahoma"/>
            <family val="2"/>
          </rPr>
          <t xml:space="preserve">
</t>
        </r>
        <r>
          <rPr>
            <b/>
            <u/>
            <sz val="16"/>
            <color indexed="81"/>
            <rFont val="Tahoma"/>
            <family val="2"/>
          </rPr>
          <t>+ Đề nghị tạm ứng:</t>
        </r>
        <r>
          <rPr>
            <sz val="16"/>
            <color indexed="81"/>
            <rFont val="Tahoma"/>
            <family val="2"/>
          </rPr>
          <t xml:space="preserve"> có đủ thông tin KH, số PO/Hợp đồng, giá bán, hệ số, các mặt hàng cần mua, giá vốn, nơi mua, sđt liên hệ, hình thức thanh toán... Kế toán phải check rõ các vấn đề tại sao không mua được VAT, tại sao giá vốn không đáp ứng hệ số (sát/hòa/lỗ so với giá bán)... 
</t>
        </r>
        <r>
          <rPr>
            <b/>
            <u/>
            <sz val="16"/>
            <color indexed="81"/>
            <rFont val="Tahoma"/>
            <family val="2"/>
          </rPr>
          <t>+ Đề nghị hoàn ứng:</t>
        </r>
        <r>
          <rPr>
            <sz val="16"/>
            <color indexed="81"/>
            <rFont val="Tahoma"/>
            <family val="2"/>
          </rPr>
          <t xml:space="preserve"> là đề nghị quyết toán cho Đề nghị tạm ứng trên. Kế toán yêu cầu Mua hàng phải list lại toàn bộ chi phí của 1 đơn hàng, phí vận chuyển về văn phòng, phí vc đến khách hàng, phí phát sinh... để ra được giá vốn của mục hàng. Yêu cầu giải trình nếu chi phí bị phát sinh quá nhiều, lỗi do đâu, nếu không hợp lý thì sẽ không được hoàn ứng. 1 list hàng của 1 PO/ Hợp đồng chỉ được Hoàn ứng trong 1 lần, không chấp nhận phát sinh ở trong 1 ĐNHƯ khác. 
</t>
        </r>
        <r>
          <rPr>
            <b/>
            <u/>
            <sz val="16"/>
            <color indexed="81"/>
            <rFont val="Tahoma"/>
            <family val="2"/>
          </rPr>
          <t>+ Đề nghị thanh toán:</t>
        </r>
        <r>
          <rPr>
            <sz val="16"/>
            <color indexed="81"/>
            <rFont val="Tahoma"/>
            <family val="2"/>
          </rPr>
          <t xml:space="preserve"> là đề nghị thanh toán cho các đơn hàng/hợp đồng đã hoàn thành, mà trước đó Mua hàng chưa tạm ứng (có thể do điều khoản thanh toán sau của NCC hoặc Mua hàng đã tự tạm ứng trước đó..). Lưu ý cũng check các vấn đề tương tự như ĐNTU và ĐNHU đã nêu. </t>
        </r>
      </text>
    </comment>
    <comment ref="I5" authorId="0" shapeId="0" xr:uid="{00000000-0006-0000-0200-000002000000}">
      <text>
        <r>
          <rPr>
            <b/>
            <sz val="16"/>
            <color indexed="81"/>
            <rFont val="Arial"/>
            <family val="2"/>
          </rPr>
          <t>Admin:
NVMH tự đặt STT DNTU để có thể tự theo dõi từ đầu. KT check và nhập theo  STT này. STT DNTU sẽ trùng với STT DNHU.
STT của DNTT là riêng biệt, không liên quan STT DNTU hay DNHU.</t>
        </r>
      </text>
    </comment>
    <comment ref="R12" authorId="0" shapeId="0" xr:uid="{00000000-0006-0000-0200-000003000000}">
      <text>
        <r>
          <rPr>
            <b/>
            <sz val="20"/>
            <color indexed="81"/>
            <rFont val="Tahoma"/>
            <family val="2"/>
          </rPr>
          <t>Admin:</t>
        </r>
        <r>
          <rPr>
            <sz val="20"/>
            <color indexed="81"/>
            <rFont val="Tahoma"/>
            <family val="2"/>
          </rPr>
          <t xml:space="preserve">
Công thức tính phí v/c cho 1 đơn vị hàng hóa:
</t>
        </r>
        <r>
          <rPr>
            <b/>
            <sz val="20"/>
            <color indexed="81"/>
            <rFont val="Tahoma"/>
            <family val="2"/>
          </rPr>
          <t>Phí v/c = Tổng tiền v/c / Tổng tiền hàng * Đơn giá mục hàng</t>
        </r>
        <r>
          <rPr>
            <sz val="20"/>
            <color indexed="81"/>
            <rFont val="Tahoma"/>
            <family val="2"/>
          </rPr>
          <t xml:space="preserve">
VD: R12 = $R$22 / $L$22 * L12</t>
        </r>
      </text>
    </comment>
    <comment ref="Q16" authorId="0" shapeId="0" xr:uid="{00000000-0006-0000-0200-000004000000}">
      <text>
        <r>
          <rPr>
            <b/>
            <sz val="18"/>
            <color indexed="81"/>
            <rFont val="Tahoma"/>
            <family val="2"/>
          </rPr>
          <t>Admin:
Ghi rõ đơn vị vận chuyển công nợ: 247 hay VTP</t>
        </r>
      </text>
    </comment>
  </commentList>
</comments>
</file>

<file path=xl/sharedStrings.xml><?xml version="1.0" encoding="utf-8"?>
<sst xmlns="http://schemas.openxmlformats.org/spreadsheetml/2006/main" count="63" uniqueCount="57">
  <si>
    <t>CÔNG TY CỔ PHẦN TƯ VẤN THIẾT BỊ EASTERN VISION
EASTERN VISION EQUIPMENT CONSULTANCY .,JSC</t>
  </si>
  <si>
    <t>Tel. 0988118801   |   Website: https://evhospitality.vn/</t>
  </si>
  <si>
    <t xml:space="preserve">   </t>
  </si>
  <si>
    <t>STT</t>
  </si>
  <si>
    <t>ĐVT</t>
  </si>
  <si>
    <t>THÀNH TIỀN
(VNĐ)</t>
  </si>
  <si>
    <t xml:space="preserve">Trưởng phòng </t>
  </si>
  <si>
    <t>Kế toán</t>
  </si>
  <si>
    <t>Giám đốc</t>
  </si>
  <si>
    <t>NCC</t>
  </si>
  <si>
    <t>Pcs</t>
  </si>
  <si>
    <t>Bong gon trang tri</t>
  </si>
  <si>
    <t>TÊN HÀNG HOÁ</t>
  </si>
  <si>
    <t>TỶ GIÁ</t>
  </si>
  <si>
    <t>ĐƠN GIÁ MUA
VNĐ</t>
  </si>
  <si>
    <t>ĐƠN GIÁ MUA
NGUYÊN TỆ</t>
  </si>
  <si>
    <t>SL BÁN</t>
  </si>
  <si>
    <t>THUẾ 
VAT</t>
  </si>
  <si>
    <t>SL 
MUA</t>
  </si>
  <si>
    <t>THUẾ
VAT</t>
  </si>
  <si>
    <t xml:space="preserve">Họ và tên: </t>
  </si>
  <si>
    <t>Kg
/Volume</t>
  </si>
  <si>
    <t xml:space="preserve">Số PO/HĐ: </t>
  </si>
  <si>
    <t xml:space="preserve">Thuộc phòng: </t>
  </si>
  <si>
    <t>đồng</t>
  </si>
  <si>
    <t>TỔNG GIÁ TRỊ ĐƠN HÀNG (VND)</t>
  </si>
  <si>
    <t>TỔNG CHI PHÍ TIỀN HÀNG (VND)</t>
  </si>
  <si>
    <t>HÌNH THỨC TT
TM / CKCTy</t>
  </si>
  <si>
    <t>HS</t>
  </si>
  <si>
    <t>ĐƠN GIÁ BÁN
VNĐ</t>
  </si>
  <si>
    <t>TM</t>
  </si>
  <si>
    <t>Tên Dự án/
Khách sạn</t>
  </si>
  <si>
    <t>Khách hàng/ Tên Công ty:</t>
  </si>
  <si>
    <t>REGENT PQ</t>
  </si>
  <si>
    <t>SỐ HĐ 
ĐẦU VÀO</t>
  </si>
  <si>
    <t>NGÀY BBGN</t>
  </si>
  <si>
    <t>12/11/2024</t>
  </si>
  <si>
    <t>ĐỀ NGHỊ THANH TOÁN</t>
  </si>
  <si>
    <t>Ngày          Tháng           Năm 2026</t>
  </si>
  <si>
    <t>CK Cty</t>
  </si>
  <si>
    <t>Người đề nghị</t>
  </si>
  <si>
    <t>CN TÂM</t>
  </si>
  <si>
    <t>Ngày nhận PO:</t>
  </si>
  <si>
    <t>Ngày gửi hàng:</t>
  </si>
  <si>
    <t>Số ĐNTT: DNTT26_NAME</t>
  </si>
  <si>
    <t>(DNTT26_NAME+STT)</t>
  </si>
  <si>
    <t>CN TBS</t>
  </si>
  <si>
    <t>SỐ TIỀN CẦN THANH TOÁN</t>
  </si>
  <si>
    <t>Số 125 phố Vĩnh Phúc, Phường Ngọc Hà, Thành phố Hà Nội, Việt Nam</t>
  </si>
  <si>
    <t>PHÍ V/CHUYỂN
 ĐẾN KH
(Nhập TỔNG ở dưới để chạy công thức)</t>
  </si>
  <si>
    <t>PHÍ V/CHUYỂN
 VỀ VP
(Yêu cầu tính phí cụ thể từng mục đơn)</t>
  </si>
  <si>
    <t>ĐƠN GIÁ VỐN
HÀNG BÁN</t>
  </si>
  <si>
    <r>
      <t xml:space="preserve">Note: 
</t>
    </r>
    <r>
      <rPr>
        <b/>
        <sz val="16"/>
        <color rgb="FFFF0000"/>
        <rFont val="Times New Roman"/>
        <family val="1"/>
      </rPr>
      <t>1. Mục hàng nào hòa vốn/ lỗ, đề nghị bôi đỏ (hệ số &gt;0.9)</t>
    </r>
    <r>
      <rPr>
        <b/>
        <sz val="16"/>
        <color theme="1"/>
        <rFont val="Times New Roman"/>
        <family val="1"/>
      </rPr>
      <t xml:space="preserve">
2. Cột Tên hàng hóa, ĐVT yêu cầu nhập đúng theo PO/HĐ
3. Cột VAT bắt buộc điền 0%, 8%, 10%...
4. Chuyển khoản cá nhân được hiểu là TT Tiền mặt
5. Cột CKCty paste luôn thông tin TK Cty
</t>
    </r>
    <r>
      <rPr>
        <b/>
        <sz val="16"/>
        <color rgb="FFFF0000"/>
        <rFont val="Times New Roman"/>
        <family val="1"/>
      </rPr>
      <t>6. ĐNHU/ ĐNTT chỉ được làm 01 lần cho 1 PO/HĐ (bao gồm tất cả chi phí cho 1 đơn)</t>
    </r>
    <r>
      <rPr>
        <b/>
        <sz val="16"/>
        <color theme="1"/>
        <rFont val="Times New Roman"/>
        <family val="1"/>
      </rPr>
      <t xml:space="preserve">
7. Yêu cầu điền đủ TẤT CẢ các ô dữ liệu trong bảng</t>
    </r>
  </si>
  <si>
    <t>CN CPN 247/VTP</t>
  </si>
  <si>
    <t>Số bill gửi:</t>
  </si>
  <si>
    <t>VŨ TRUNG HIẾU</t>
  </si>
  <si>
    <t>KT đã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</si>
</sst>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0_);_(* \(#,##0.000\);_(* &quot;-&quot;??_);_(@_)"/>
    <numFmt numFmtId="166" formatCode="#,##0\ [$VND]\ "/>
  </numFmts>
  <fonts count="38">
    <font>
      <sz val="11"/>
      <color theme="1"/>
      <name val="Calibri"/>
      <family val="2"/>
      <scheme val="minor"/>
    </font>
    <font>
      <sz val="11"/>
      <color theme="1"/>
      <name val="Calibri"/>
      <family val="2"/>
      <scheme val="minor"/>
    </font>
    <font>
      <sz val="10"/>
      <name val="Arial"/>
      <family val="2"/>
      <charset val="163"/>
    </font>
    <font>
      <sz val="36"/>
      <name val="Times New Roman"/>
      <family val="1"/>
    </font>
    <font>
      <b/>
      <sz val="36"/>
      <color rgb="FF47B0C5"/>
      <name val="Tw Cen MT"/>
      <family val="2"/>
    </font>
    <font>
      <b/>
      <sz val="36"/>
      <color rgb="FFFF0000"/>
      <name val="Times New Roman"/>
      <family val="1"/>
    </font>
    <font>
      <i/>
      <sz val="36"/>
      <name val="Tw Cen MT"/>
      <family val="2"/>
    </font>
    <font>
      <sz val="12"/>
      <name val=".VnArial Narrow"/>
      <family val="2"/>
    </font>
    <font>
      <b/>
      <sz val="36"/>
      <name val="Times New Roman"/>
      <family val="1"/>
    </font>
    <font>
      <sz val="10"/>
      <name val="Arial"/>
      <family val="2"/>
    </font>
    <font>
      <sz val="10"/>
      <color rgb="FF000000"/>
      <name val="Times New Roman"/>
      <family val="1"/>
    </font>
    <font>
      <i/>
      <sz val="16"/>
      <name val="Times New Roman"/>
      <family val="1"/>
    </font>
    <font>
      <sz val="16"/>
      <name val="Times New Roman"/>
      <family val="1"/>
    </font>
    <font>
      <b/>
      <sz val="16"/>
      <color rgb="FFFF0000"/>
      <name val="Times New Roman"/>
      <family val="1"/>
    </font>
    <font>
      <b/>
      <sz val="16"/>
      <name val="Times New Roman"/>
      <family val="1"/>
    </font>
    <font>
      <sz val="16"/>
      <color theme="1"/>
      <name val="Times New Roman"/>
      <family val="1"/>
    </font>
    <font>
      <b/>
      <sz val="18"/>
      <name val="Times New Roman"/>
      <family val="1"/>
    </font>
    <font>
      <i/>
      <sz val="18"/>
      <color rgb="FFFF0000"/>
      <name val="Times New Roman"/>
      <family val="1"/>
    </font>
    <font>
      <b/>
      <sz val="18"/>
      <color rgb="FFFF0000"/>
      <name val="Times New Roman"/>
      <family val="1"/>
    </font>
    <font>
      <sz val="18"/>
      <name val="Times New Roman"/>
      <family val="1"/>
    </font>
    <font>
      <b/>
      <sz val="36"/>
      <color theme="0"/>
      <name val="Times New Roman"/>
      <family val="1"/>
    </font>
    <font>
      <b/>
      <sz val="20"/>
      <color rgb="FFFF0000"/>
      <name val="Times New Roman"/>
      <family val="1"/>
    </font>
    <font>
      <b/>
      <sz val="18"/>
      <color rgb="FFC00000"/>
      <name val="Times New Roman"/>
      <family val="1"/>
    </font>
    <font>
      <b/>
      <sz val="20"/>
      <color rgb="FF002060"/>
      <name val="Times New Roman"/>
      <family val="1"/>
    </font>
    <font>
      <b/>
      <sz val="18"/>
      <color theme="0"/>
      <name val="Times New Roman"/>
      <family val="1"/>
    </font>
    <font>
      <b/>
      <sz val="18"/>
      <color theme="4"/>
      <name val="Times New Roman"/>
      <family val="1"/>
    </font>
    <font>
      <b/>
      <sz val="16"/>
      <color theme="1"/>
      <name val="Times New Roman"/>
      <family val="1"/>
    </font>
    <font>
      <b/>
      <sz val="16"/>
      <color indexed="81"/>
      <name val="Arial"/>
      <family val="2"/>
    </font>
    <font>
      <b/>
      <sz val="21"/>
      <color theme="1"/>
      <name val="Times New Roman"/>
      <family val="1"/>
    </font>
    <font>
      <b/>
      <sz val="28"/>
      <color rgb="FF47B0C5"/>
      <name val="Tw Cen MT"/>
      <family val="2"/>
    </font>
    <font>
      <i/>
      <sz val="24"/>
      <name val="Tw Cen MT"/>
      <family val="2"/>
    </font>
    <font>
      <b/>
      <sz val="20"/>
      <color indexed="81"/>
      <name val="Tahoma"/>
      <family val="2"/>
    </font>
    <font>
      <sz val="20"/>
      <color indexed="81"/>
      <name val="Tahoma"/>
      <family val="2"/>
    </font>
    <font>
      <b/>
      <sz val="18"/>
      <color indexed="81"/>
      <name val="Tahoma"/>
      <family val="2"/>
    </font>
    <font>
      <b/>
      <sz val="16"/>
      <color indexed="81"/>
      <name val="Tahoma"/>
      <family val="2"/>
    </font>
    <font>
      <sz val="16"/>
      <color indexed="81"/>
      <name val="Tahoma"/>
      <family val="2"/>
    </font>
    <font>
      <sz val="17"/>
      <color rgb="FFFF0000"/>
      <name val="Times New Roman"/>
      <family val="1"/>
    </font>
    <font>
      <b/>
      <u/>
      <sz val="16"/>
      <color indexed="81"/>
      <name val="Tahoma"/>
      <family val="2"/>
    </font>
  </fonts>
  <fills count="17">
    <fill>
      <patternFill patternType="none"/>
    </fill>
    <fill>
      <patternFill patternType="gray125"/>
    </fill>
    <fill>
      <patternFill patternType="solid">
        <fgColor theme="0"/>
        <bgColor indexed="64"/>
      </patternFill>
    </fill>
    <fill>
      <patternFill patternType="solid">
        <fgColor rgb="FF47B0C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rgb="FFFF5050"/>
        <bgColor indexed="64"/>
      </patternFill>
    </fill>
    <fill>
      <patternFill patternType="solid">
        <fgColor theme="3" tint="-0.499984740745262"/>
        <bgColor indexed="64"/>
      </patternFill>
    </fill>
    <fill>
      <patternFill patternType="solid">
        <fgColor theme="7" tint="0.79998168889431442"/>
        <bgColor indexed="64"/>
      </patternFill>
    </fill>
    <fill>
      <patternFill patternType="solid">
        <fgColor theme="8"/>
        <bgColor indexed="64"/>
      </patternFill>
    </fill>
    <fill>
      <patternFill patternType="solid">
        <fgColor theme="7" tint="0.39997558519241921"/>
        <bgColor indexed="64"/>
      </patternFill>
    </fill>
    <fill>
      <patternFill patternType="solid">
        <fgColor theme="9"/>
        <bgColor indexed="64"/>
      </patternFill>
    </fill>
    <fill>
      <patternFill patternType="solid">
        <fgColor theme="9" tint="0.39997558519241921"/>
        <bgColor indexed="64"/>
      </patternFill>
    </fill>
    <fill>
      <patternFill patternType="solid">
        <fgColor rgb="FFFF0000"/>
        <bgColor indexed="64"/>
      </patternFill>
    </fill>
  </fills>
  <borders count="7">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8">
    <xf numFmtId="166" fontId="0" fillId="0" borderId="0"/>
    <xf numFmtId="43" fontId="9" fillId="0" borderId="0" applyFont="0" applyFill="0" applyBorder="0" applyAlignment="0" applyProtection="0"/>
    <xf numFmtId="166" fontId="2" fillId="0" borderId="0"/>
    <xf numFmtId="166" fontId="1" fillId="0" borderId="0"/>
    <xf numFmtId="166" fontId="7" fillId="0" borderId="0"/>
    <xf numFmtId="166" fontId="1" fillId="0" borderId="0"/>
    <xf numFmtId="0" fontId="10" fillId="0" borderId="0"/>
    <xf numFmtId="9" fontId="1" fillId="0" borderId="0" applyFont="0" applyFill="0" applyBorder="0" applyAlignment="0" applyProtection="0"/>
  </cellStyleXfs>
  <cellXfs count="159">
    <xf numFmtId="166" fontId="0" fillId="0" borderId="0" xfId="0"/>
    <xf numFmtId="166" fontId="3" fillId="0" borderId="0" xfId="2" applyFont="1" applyAlignment="1">
      <alignment vertical="center"/>
    </xf>
    <xf numFmtId="166" fontId="3" fillId="0" borderId="0" xfId="2" applyFont="1"/>
    <xf numFmtId="166" fontId="5" fillId="0" borderId="0" xfId="2" applyFont="1"/>
    <xf numFmtId="166" fontId="3" fillId="0" borderId="0" xfId="2" applyFont="1" applyAlignment="1">
      <alignment horizontal="right"/>
    </xf>
    <xf numFmtId="164" fontId="3" fillId="0" borderId="0" xfId="2" applyNumberFormat="1" applyFont="1"/>
    <xf numFmtId="166" fontId="3" fillId="0" borderId="0" xfId="2" applyFont="1" applyAlignment="1">
      <alignment horizontal="center"/>
    </xf>
    <xf numFmtId="164" fontId="3" fillId="0" borderId="0" xfId="1" applyNumberFormat="1" applyFont="1" applyAlignment="1">
      <alignment horizontal="center"/>
    </xf>
    <xf numFmtId="166" fontId="8" fillId="0" borderId="0" xfId="2" applyFont="1" applyAlignment="1">
      <alignment horizontal="center"/>
    </xf>
    <xf numFmtId="166" fontId="8" fillId="0" borderId="0" xfId="2" applyFont="1" applyAlignment="1">
      <alignment vertical="center"/>
    </xf>
    <xf numFmtId="166" fontId="8" fillId="0" borderId="0" xfId="2" applyFont="1"/>
    <xf numFmtId="164" fontId="3" fillId="0" borderId="0" xfId="2" applyNumberFormat="1" applyFont="1" applyAlignment="1">
      <alignment horizontal="center"/>
    </xf>
    <xf numFmtId="166" fontId="6" fillId="0" borderId="0" xfId="2" applyFont="1" applyAlignment="1">
      <alignment vertical="center" wrapText="1"/>
    </xf>
    <xf numFmtId="166" fontId="6" fillId="0" borderId="0" xfId="2" applyFont="1" applyAlignment="1">
      <alignment horizontal="center" vertical="center" wrapText="1"/>
    </xf>
    <xf numFmtId="166" fontId="4" fillId="2" borderId="0" xfId="3" applyFont="1" applyFill="1" applyAlignment="1">
      <alignment vertical="center" wrapText="1"/>
    </xf>
    <xf numFmtId="166" fontId="11" fillId="0" borderId="0" xfId="4" applyFont="1" applyAlignment="1">
      <alignment vertical="center"/>
    </xf>
    <xf numFmtId="166" fontId="12" fillId="0" borderId="0" xfId="2" applyFont="1"/>
    <xf numFmtId="166" fontId="13" fillId="0" borderId="0" xfId="2" applyFont="1" applyAlignment="1">
      <alignment horizontal="right"/>
    </xf>
    <xf numFmtId="166" fontId="12" fillId="0" borderId="0" xfId="2" applyFont="1" applyAlignment="1">
      <alignment horizontal="right"/>
    </xf>
    <xf numFmtId="3" fontId="12" fillId="2" borderId="2" xfId="2" applyNumberFormat="1" applyFont="1" applyFill="1" applyBorder="1" applyAlignment="1">
      <alignment horizontal="center" vertical="center" wrapText="1"/>
    </xf>
    <xf numFmtId="166" fontId="12" fillId="2" borderId="2" xfId="2" applyFont="1" applyFill="1" applyBorder="1" applyAlignment="1">
      <alignment horizontal="center" vertical="center"/>
    </xf>
    <xf numFmtId="164" fontId="15" fillId="2" borderId="2" xfId="1" applyNumberFormat="1" applyFont="1" applyFill="1" applyBorder="1" applyAlignment="1">
      <alignment vertical="center"/>
    </xf>
    <xf numFmtId="9" fontId="15" fillId="2" borderId="2" xfId="7" applyFont="1" applyFill="1" applyBorder="1" applyAlignment="1">
      <alignment horizontal="center" vertical="center"/>
    </xf>
    <xf numFmtId="3" fontId="14" fillId="2" borderId="2" xfId="2" applyNumberFormat="1" applyFont="1" applyFill="1" applyBorder="1" applyAlignment="1">
      <alignment horizontal="right" vertical="center" wrapText="1"/>
    </xf>
    <xf numFmtId="3" fontId="14" fillId="2" borderId="2" xfId="2" applyNumberFormat="1" applyFont="1" applyFill="1" applyBorder="1" applyAlignment="1">
      <alignment horizontal="right" vertical="center"/>
    </xf>
    <xf numFmtId="164" fontId="12" fillId="0" borderId="0" xfId="1" applyNumberFormat="1" applyFont="1" applyAlignment="1">
      <alignment horizontal="center"/>
    </xf>
    <xf numFmtId="166" fontId="12" fillId="0" borderId="0" xfId="2" applyFont="1" applyAlignment="1">
      <alignment horizontal="center"/>
    </xf>
    <xf numFmtId="166" fontId="13" fillId="0" borderId="0" xfId="2" applyFont="1"/>
    <xf numFmtId="166" fontId="14" fillId="0" borderId="0" xfId="2" applyFont="1" applyAlignment="1">
      <alignment horizontal="center" vertical="center"/>
    </xf>
    <xf numFmtId="164" fontId="12" fillId="0" borderId="0" xfId="2" applyNumberFormat="1" applyFont="1"/>
    <xf numFmtId="164" fontId="12" fillId="0" borderId="0" xfId="2" applyNumberFormat="1" applyFont="1" applyAlignment="1">
      <alignment horizontal="center"/>
    </xf>
    <xf numFmtId="166" fontId="14" fillId="0" borderId="0" xfId="2" applyFont="1" applyAlignment="1">
      <alignment horizontal="center"/>
    </xf>
    <xf numFmtId="166" fontId="14" fillId="0" borderId="0" xfId="4" applyFont="1" applyAlignment="1">
      <alignment horizontal="center"/>
    </xf>
    <xf numFmtId="166" fontId="12" fillId="0" borderId="0" xfId="4" applyFont="1"/>
    <xf numFmtId="166" fontId="12" fillId="0" borderId="0" xfId="4" applyFont="1" applyAlignment="1">
      <alignment horizontal="center"/>
    </xf>
    <xf numFmtId="164" fontId="12" fillId="0" borderId="0" xfId="4" applyNumberFormat="1" applyFont="1"/>
    <xf numFmtId="164" fontId="12" fillId="0" borderId="0" xfId="4" applyNumberFormat="1" applyFont="1" applyAlignment="1">
      <alignment horizontal="center"/>
    </xf>
    <xf numFmtId="166" fontId="13" fillId="0" borderId="0" xfId="2" applyFont="1" applyAlignment="1">
      <alignment vertical="center"/>
    </xf>
    <xf numFmtId="166" fontId="14" fillId="0" borderId="0" xfId="2" applyFont="1"/>
    <xf numFmtId="164" fontId="14" fillId="0" borderId="0" xfId="2" applyNumberFormat="1" applyFont="1"/>
    <xf numFmtId="164" fontId="14" fillId="0" borderId="0" xfId="2" applyNumberFormat="1" applyFont="1" applyAlignment="1">
      <alignment horizontal="center"/>
    </xf>
    <xf numFmtId="166" fontId="14" fillId="0" borderId="0" xfId="4" applyFont="1"/>
    <xf numFmtId="166" fontId="14" fillId="0" borderId="0" xfId="2" applyFont="1" applyAlignment="1">
      <alignment horizontal="left" vertical="center"/>
    </xf>
    <xf numFmtId="166" fontId="16" fillId="4" borderId="2" xfId="2" applyFont="1" applyFill="1" applyBorder="1" applyAlignment="1">
      <alignment horizontal="center" vertical="center" wrapText="1"/>
    </xf>
    <xf numFmtId="164" fontId="16" fillId="4" borderId="2" xfId="2" applyNumberFormat="1" applyFont="1" applyFill="1" applyBorder="1" applyAlignment="1">
      <alignment horizontal="center" vertical="center" wrapText="1"/>
    </xf>
    <xf numFmtId="166" fontId="16" fillId="2" borderId="2" xfId="2" applyFont="1" applyFill="1" applyBorder="1" applyAlignment="1">
      <alignment horizontal="center" vertical="center" wrapText="1"/>
    </xf>
    <xf numFmtId="164" fontId="16" fillId="4" borderId="2" xfId="1" applyNumberFormat="1" applyFont="1" applyFill="1" applyBorder="1" applyAlignment="1">
      <alignment horizontal="center" vertical="center" wrapText="1"/>
    </xf>
    <xf numFmtId="166" fontId="17" fillId="0" borderId="0" xfId="4" applyFont="1" applyAlignment="1">
      <alignment vertical="center"/>
    </xf>
    <xf numFmtId="166" fontId="17" fillId="0" borderId="1" xfId="4" applyFont="1" applyBorder="1" applyAlignment="1">
      <alignment vertical="center"/>
    </xf>
    <xf numFmtId="166" fontId="16" fillId="0" borderId="0" xfId="4" applyFont="1" applyAlignment="1">
      <alignment vertical="center"/>
    </xf>
    <xf numFmtId="3" fontId="19" fillId="0" borderId="2" xfId="2" applyNumberFormat="1" applyFont="1" applyBorder="1" applyAlignment="1">
      <alignment horizontal="center" vertical="center" wrapText="1"/>
    </xf>
    <xf numFmtId="3" fontId="18" fillId="0" borderId="2" xfId="2" applyNumberFormat="1" applyFont="1" applyBorder="1" applyAlignment="1">
      <alignment horizontal="right" vertical="center" wrapText="1"/>
    </xf>
    <xf numFmtId="3" fontId="16" fillId="0" borderId="2" xfId="2" applyNumberFormat="1" applyFont="1" applyBorder="1" applyAlignment="1">
      <alignment horizontal="right" vertical="center" wrapText="1"/>
    </xf>
    <xf numFmtId="3" fontId="19" fillId="0" borderId="0" xfId="2" applyNumberFormat="1" applyFont="1" applyAlignment="1">
      <alignment horizontal="center" vertical="center" wrapText="1"/>
    </xf>
    <xf numFmtId="166" fontId="16" fillId="0" borderId="0" xfId="2" applyFont="1" applyAlignment="1">
      <alignment horizontal="center" vertical="center" wrapText="1"/>
    </xf>
    <xf numFmtId="166" fontId="18" fillId="0" borderId="0" xfId="2" applyFont="1" applyAlignment="1">
      <alignment horizontal="center" vertical="center" wrapText="1"/>
    </xf>
    <xf numFmtId="4" fontId="18" fillId="0" borderId="0" xfId="2" applyNumberFormat="1" applyFont="1" applyAlignment="1">
      <alignment horizontal="right" vertical="center" wrapText="1"/>
    </xf>
    <xf numFmtId="166" fontId="19" fillId="0" borderId="0" xfId="2" applyFont="1" applyAlignment="1">
      <alignment horizontal="center"/>
    </xf>
    <xf numFmtId="166" fontId="16" fillId="0" borderId="0" xfId="2" applyFont="1" applyAlignment="1">
      <alignment vertical="center"/>
    </xf>
    <xf numFmtId="166" fontId="19" fillId="0" borderId="0" xfId="2" applyFont="1"/>
    <xf numFmtId="166" fontId="18" fillId="0" borderId="0" xfId="2" applyFont="1"/>
    <xf numFmtId="166" fontId="19" fillId="0" borderId="0" xfId="2" applyFont="1" applyAlignment="1">
      <alignment horizontal="center" vertical="center"/>
    </xf>
    <xf numFmtId="166" fontId="16" fillId="0" borderId="0" xfId="4" applyFont="1" applyAlignment="1">
      <alignment horizontal="center" vertical="center"/>
    </xf>
    <xf numFmtId="164" fontId="19" fillId="0" borderId="0" xfId="1" applyNumberFormat="1" applyFont="1" applyAlignment="1">
      <alignment horizontal="center"/>
    </xf>
    <xf numFmtId="164" fontId="19" fillId="0" borderId="0" xfId="2" applyNumberFormat="1" applyFont="1"/>
    <xf numFmtId="164" fontId="19" fillId="0" borderId="0" xfId="2" applyNumberFormat="1" applyFont="1" applyAlignment="1">
      <alignment horizontal="center"/>
    </xf>
    <xf numFmtId="166" fontId="16" fillId="0" borderId="0" xfId="2" applyFont="1" applyAlignment="1">
      <alignment horizontal="center" vertical="center"/>
    </xf>
    <xf numFmtId="166" fontId="4" fillId="2" borderId="0" xfId="3" applyFont="1" applyFill="1" applyAlignment="1">
      <alignment horizontal="center" vertical="center" wrapText="1"/>
    </xf>
    <xf numFmtId="3" fontId="16" fillId="5" borderId="2" xfId="2" applyNumberFormat="1" applyFont="1" applyFill="1" applyBorder="1" applyAlignment="1">
      <alignment vertical="center" wrapText="1"/>
    </xf>
    <xf numFmtId="166" fontId="3" fillId="2" borderId="0" xfId="2" applyFont="1" applyFill="1" applyAlignment="1">
      <alignment vertical="center"/>
    </xf>
    <xf numFmtId="166" fontId="13" fillId="0" borderId="0" xfId="2" applyFont="1" applyAlignment="1">
      <alignment horizontal="center"/>
    </xf>
    <xf numFmtId="164" fontId="12" fillId="2" borderId="2" xfId="1" applyNumberFormat="1" applyFont="1" applyFill="1" applyBorder="1" applyAlignment="1">
      <alignment horizontal="center" vertical="center"/>
    </xf>
    <xf numFmtId="43" fontId="19" fillId="0" borderId="2" xfId="1" applyFont="1" applyBorder="1" applyAlignment="1">
      <alignment horizontal="center" vertical="center"/>
    </xf>
    <xf numFmtId="166" fontId="18" fillId="0" borderId="0" xfId="2" applyFont="1" applyAlignment="1">
      <alignment horizontal="center"/>
    </xf>
    <xf numFmtId="166" fontId="13" fillId="0" borderId="0" xfId="2" applyFont="1" applyAlignment="1">
      <alignment horizontal="center" vertical="center"/>
    </xf>
    <xf numFmtId="166" fontId="5" fillId="0" borderId="0" xfId="2" applyFont="1" applyAlignment="1">
      <alignment horizontal="center"/>
    </xf>
    <xf numFmtId="166" fontId="16" fillId="0" borderId="0" xfId="4" applyFont="1" applyAlignment="1">
      <alignment horizontal="right" vertical="center"/>
    </xf>
    <xf numFmtId="164" fontId="12" fillId="2" borderId="2" xfId="1" applyNumberFormat="1" applyFont="1" applyFill="1" applyBorder="1" applyAlignment="1">
      <alignment horizontal="right" vertical="center"/>
    </xf>
    <xf numFmtId="165" fontId="19" fillId="0" borderId="0" xfId="1" applyNumberFormat="1" applyFont="1" applyAlignment="1">
      <alignment horizontal="right"/>
    </xf>
    <xf numFmtId="166" fontId="19" fillId="0" borderId="0" xfId="2" applyFont="1" applyAlignment="1">
      <alignment horizontal="right"/>
    </xf>
    <xf numFmtId="166" fontId="14" fillId="0" borderId="0" xfId="2" applyFont="1" applyAlignment="1">
      <alignment horizontal="right" vertical="center"/>
    </xf>
    <xf numFmtId="166" fontId="8" fillId="0" borderId="0" xfId="2" applyFont="1" applyAlignment="1">
      <alignment horizontal="right"/>
    </xf>
    <xf numFmtId="166" fontId="11" fillId="0" borderId="0" xfId="4" applyFont="1" applyAlignment="1">
      <alignment horizontal="center" vertical="center"/>
    </xf>
    <xf numFmtId="3" fontId="16" fillId="0" borderId="2" xfId="2" applyNumberFormat="1" applyFont="1" applyBorder="1" applyAlignment="1">
      <alignment horizontal="center" vertical="center" wrapText="1"/>
    </xf>
    <xf numFmtId="166" fontId="14" fillId="0" borderId="0" xfId="2" applyFont="1" applyAlignment="1">
      <alignment horizontal="right"/>
    </xf>
    <xf numFmtId="4" fontId="12" fillId="2" borderId="2" xfId="2" applyNumberFormat="1" applyFont="1" applyFill="1" applyBorder="1" applyAlignment="1">
      <alignment horizontal="right" vertical="center"/>
    </xf>
    <xf numFmtId="4" fontId="14" fillId="2" borderId="2" xfId="2" applyNumberFormat="1" applyFont="1" applyFill="1" applyBorder="1" applyAlignment="1">
      <alignment horizontal="center" vertical="center"/>
    </xf>
    <xf numFmtId="3" fontId="14" fillId="2" borderId="2" xfId="2" applyNumberFormat="1" applyFont="1" applyFill="1" applyBorder="1" applyAlignment="1">
      <alignment horizontal="center" vertical="center" wrapText="1"/>
    </xf>
    <xf numFmtId="164" fontId="12" fillId="2" borderId="2" xfId="1" applyNumberFormat="1" applyFont="1" applyFill="1" applyBorder="1" applyAlignment="1">
      <alignment horizontal="center" vertical="center" wrapText="1"/>
    </xf>
    <xf numFmtId="166" fontId="16" fillId="0" borderId="0" xfId="4" applyFont="1" applyAlignment="1">
      <alignment horizontal="left" vertical="center"/>
    </xf>
    <xf numFmtId="166" fontId="12" fillId="0" borderId="0" xfId="2" applyFont="1" applyAlignment="1">
      <alignment horizontal="center" vertical="center"/>
    </xf>
    <xf numFmtId="49" fontId="12" fillId="2" borderId="2" xfId="1" applyNumberFormat="1" applyFont="1" applyFill="1" applyBorder="1" applyAlignment="1">
      <alignment horizontal="center" vertical="center"/>
    </xf>
    <xf numFmtId="43" fontId="19" fillId="0" borderId="0" xfId="1" applyFont="1" applyBorder="1" applyAlignment="1">
      <alignment horizontal="center" vertical="center"/>
    </xf>
    <xf numFmtId="166" fontId="5" fillId="0" borderId="0" xfId="2" applyFont="1" applyAlignment="1">
      <alignment horizontal="center" vertical="center"/>
    </xf>
    <xf numFmtId="166" fontId="3" fillId="0" borderId="0" xfId="2" applyFont="1" applyAlignment="1">
      <alignment horizontal="center" vertical="center"/>
    </xf>
    <xf numFmtId="166" fontId="8" fillId="0" borderId="0" xfId="2" applyFont="1" applyAlignment="1">
      <alignment horizontal="center" vertical="center"/>
    </xf>
    <xf numFmtId="3" fontId="22" fillId="7" borderId="2" xfId="2" applyNumberFormat="1" applyFont="1" applyFill="1" applyBorder="1" applyAlignment="1">
      <alignment horizontal="right" vertical="center" wrapText="1"/>
    </xf>
    <xf numFmtId="3" fontId="22" fillId="7" borderId="2" xfId="2" applyNumberFormat="1" applyFont="1" applyFill="1" applyBorder="1" applyAlignment="1">
      <alignment horizontal="left" vertical="center" wrapText="1"/>
    </xf>
    <xf numFmtId="166" fontId="18" fillId="8" borderId="2" xfId="2" applyFont="1" applyFill="1" applyBorder="1" applyAlignment="1">
      <alignment horizontal="center" vertical="center" wrapText="1"/>
    </xf>
    <xf numFmtId="4" fontId="18" fillId="8" borderId="2" xfId="2" applyNumberFormat="1" applyFont="1" applyFill="1" applyBorder="1" applyAlignment="1">
      <alignment horizontal="center" vertical="center" wrapText="1"/>
    </xf>
    <xf numFmtId="166" fontId="14" fillId="4" borderId="2" xfId="2" applyFont="1" applyFill="1" applyBorder="1" applyAlignment="1">
      <alignment horizontal="center" vertical="center" wrapText="1"/>
    </xf>
    <xf numFmtId="3" fontId="16" fillId="9" borderId="0" xfId="2" applyNumberFormat="1" applyFont="1" applyFill="1" applyAlignment="1">
      <alignment horizontal="right" vertical="center" wrapText="1"/>
    </xf>
    <xf numFmtId="166" fontId="16" fillId="9" borderId="2" xfId="4" applyFont="1" applyFill="1" applyBorder="1" applyAlignment="1">
      <alignment horizontal="left" vertical="center"/>
    </xf>
    <xf numFmtId="14" fontId="16" fillId="9" borderId="2" xfId="4" applyNumberFormat="1" applyFont="1" applyFill="1" applyBorder="1" applyAlignment="1">
      <alignment horizontal="left" vertical="center"/>
    </xf>
    <xf numFmtId="3" fontId="12" fillId="2" borderId="2" xfId="2" quotePrefix="1" applyNumberFormat="1" applyFont="1" applyFill="1" applyBorder="1" applyAlignment="1">
      <alignment horizontal="center" vertical="center"/>
    </xf>
    <xf numFmtId="165" fontId="18" fillId="7" borderId="2" xfId="1" applyNumberFormat="1" applyFont="1" applyFill="1" applyBorder="1" applyAlignment="1">
      <alignment vertical="center"/>
    </xf>
    <xf numFmtId="166" fontId="18" fillId="0" borderId="1" xfId="2" applyFont="1" applyBorder="1" applyAlignment="1">
      <alignment vertical="center" wrapText="1"/>
    </xf>
    <xf numFmtId="166" fontId="16" fillId="0" borderId="0" xfId="4" quotePrefix="1" applyFont="1" applyAlignment="1">
      <alignment horizontal="right" vertical="center"/>
    </xf>
    <xf numFmtId="166" fontId="16" fillId="0" borderId="0" xfId="4" quotePrefix="1" applyFont="1" applyAlignment="1">
      <alignment horizontal="center" vertical="center"/>
    </xf>
    <xf numFmtId="3" fontId="16" fillId="0" borderId="0" xfId="4" applyNumberFormat="1" applyFont="1" applyAlignment="1">
      <alignment vertical="center"/>
    </xf>
    <xf numFmtId="3" fontId="16" fillId="0" borderId="0" xfId="4" applyNumberFormat="1" applyFont="1" applyAlignment="1">
      <alignment horizontal="center" vertical="center"/>
    </xf>
    <xf numFmtId="166" fontId="18" fillId="11" borderId="2" xfId="0" applyFont="1" applyFill="1" applyBorder="1" applyAlignment="1">
      <alignment vertical="center"/>
    </xf>
    <xf numFmtId="166" fontId="25" fillId="11" borderId="2" xfId="0" applyFont="1" applyFill="1" applyBorder="1" applyAlignment="1">
      <alignment vertical="center"/>
    </xf>
    <xf numFmtId="3" fontId="25" fillId="11" borderId="2" xfId="0" applyNumberFormat="1" applyFont="1" applyFill="1" applyBorder="1" applyAlignment="1">
      <alignment vertical="center"/>
    </xf>
    <xf numFmtId="0" fontId="16" fillId="0" borderId="0" xfId="4" applyNumberFormat="1" applyFont="1" applyAlignment="1">
      <alignment vertical="center"/>
    </xf>
    <xf numFmtId="164" fontId="18" fillId="4" borderId="2" xfId="2" applyNumberFormat="1" applyFont="1" applyFill="1" applyBorder="1" applyAlignment="1">
      <alignment horizontal="center" vertical="center" wrapText="1"/>
    </xf>
    <xf numFmtId="164" fontId="16" fillId="4" borderId="2" xfId="1" applyNumberFormat="1" applyFont="1" applyFill="1" applyBorder="1" applyAlignment="1">
      <alignment horizontal="right" vertical="center"/>
    </xf>
    <xf numFmtId="0" fontId="12" fillId="16" borderId="2" xfId="6" applyFont="1" applyFill="1" applyBorder="1" applyAlignment="1">
      <alignment horizontal="left" vertical="center" wrapText="1"/>
    </xf>
    <xf numFmtId="164" fontId="36" fillId="2" borderId="2" xfId="1" applyNumberFormat="1" applyFont="1" applyFill="1" applyBorder="1" applyAlignment="1">
      <alignment horizontal="right" vertical="center"/>
    </xf>
    <xf numFmtId="164" fontId="18" fillId="4" borderId="2" xfId="1" applyNumberFormat="1" applyFont="1" applyFill="1" applyBorder="1" applyAlignment="1">
      <alignment vertical="center"/>
    </xf>
    <xf numFmtId="166" fontId="18" fillId="15" borderId="2" xfId="2" applyFont="1" applyFill="1" applyBorder="1" applyAlignment="1">
      <alignment horizontal="center" vertical="center"/>
    </xf>
    <xf numFmtId="166" fontId="19" fillId="0" borderId="2" xfId="2" applyFont="1" applyBorder="1"/>
    <xf numFmtId="166" fontId="16" fillId="0" borderId="2" xfId="2" applyFont="1" applyBorder="1" applyAlignment="1">
      <alignment horizontal="left" vertical="center"/>
    </xf>
    <xf numFmtId="166" fontId="16" fillId="0" borderId="0" xfId="2" applyFont="1" applyAlignment="1">
      <alignment horizontal="center" vertical="center"/>
    </xf>
    <xf numFmtId="166" fontId="16" fillId="0" borderId="0" xfId="4" applyFont="1" applyAlignment="1">
      <alignment horizontal="center" vertical="center"/>
    </xf>
    <xf numFmtId="166" fontId="14" fillId="0" borderId="0" xfId="2" applyFont="1" applyAlignment="1">
      <alignment horizontal="left" vertical="center"/>
    </xf>
    <xf numFmtId="166" fontId="14" fillId="0" borderId="0" xfId="2" applyFont="1" applyAlignment="1">
      <alignment horizontal="center" vertical="center"/>
    </xf>
    <xf numFmtId="164" fontId="14" fillId="0" borderId="0" xfId="2" applyNumberFormat="1" applyFont="1" applyAlignment="1">
      <alignment horizontal="center" vertical="center"/>
    </xf>
    <xf numFmtId="166" fontId="13" fillId="0" borderId="0" xfId="2" applyFont="1" applyAlignment="1">
      <alignment horizontal="center"/>
    </xf>
    <xf numFmtId="164" fontId="12" fillId="0" borderId="0" xfId="1" applyNumberFormat="1" applyFont="1" applyAlignment="1">
      <alignment horizontal="center"/>
    </xf>
    <xf numFmtId="164" fontId="14" fillId="0" borderId="0" xfId="2" applyNumberFormat="1" applyFont="1" applyAlignment="1">
      <alignment horizontal="center" wrapText="1"/>
    </xf>
    <xf numFmtId="166" fontId="12" fillId="0" borderId="0" xfId="2" applyFont="1" applyAlignment="1">
      <alignment horizontal="center"/>
    </xf>
    <xf numFmtId="166" fontId="18" fillId="13" borderId="2" xfId="0" applyFont="1" applyFill="1" applyBorder="1" applyAlignment="1">
      <alignment horizontal="center" vertical="center"/>
    </xf>
    <xf numFmtId="166" fontId="22" fillId="7" borderId="2" xfId="2" applyFont="1" applyFill="1" applyBorder="1" applyAlignment="1">
      <alignment horizontal="center" vertical="center" wrapText="1"/>
    </xf>
    <xf numFmtId="165" fontId="18" fillId="12" borderId="2" xfId="1" applyNumberFormat="1" applyFont="1" applyFill="1" applyBorder="1" applyAlignment="1">
      <alignment horizontal="center" vertical="center"/>
    </xf>
    <xf numFmtId="166" fontId="26" fillId="4" borderId="0" xfId="2" applyFont="1" applyFill="1" applyAlignment="1">
      <alignment horizontal="left" vertical="top" wrapText="1"/>
    </xf>
    <xf numFmtId="166" fontId="26" fillId="4" borderId="0" xfId="2" applyFont="1" applyFill="1" applyAlignment="1">
      <alignment horizontal="left" vertical="center" wrapText="1"/>
    </xf>
    <xf numFmtId="165" fontId="18" fillId="15" borderId="2" xfId="1" applyNumberFormat="1" applyFont="1" applyFill="1" applyBorder="1" applyAlignment="1">
      <alignment horizontal="center" vertical="center"/>
    </xf>
    <xf numFmtId="43" fontId="19" fillId="11" borderId="2" xfId="1" applyFont="1" applyFill="1" applyBorder="1" applyAlignment="1">
      <alignment horizontal="center" vertical="center"/>
    </xf>
    <xf numFmtId="166" fontId="16" fillId="9" borderId="2" xfId="4" applyFont="1" applyFill="1" applyBorder="1" applyAlignment="1">
      <alignment horizontal="center" vertical="center"/>
    </xf>
    <xf numFmtId="14" fontId="16" fillId="9" borderId="2" xfId="4" applyNumberFormat="1" applyFont="1" applyFill="1" applyBorder="1" applyAlignment="1">
      <alignment horizontal="center" vertical="center"/>
    </xf>
    <xf numFmtId="166" fontId="29" fillId="2" borderId="0" xfId="3" applyFont="1" applyFill="1" applyAlignment="1">
      <alignment horizontal="center" vertical="center" wrapText="1"/>
    </xf>
    <xf numFmtId="166" fontId="30" fillId="0" borderId="0" xfId="2" applyFont="1" applyAlignment="1">
      <alignment horizontal="left" vertical="center" wrapText="1"/>
    </xf>
    <xf numFmtId="166" fontId="20" fillId="3" borderId="2" xfId="3" applyFont="1" applyFill="1" applyBorder="1" applyAlignment="1">
      <alignment horizontal="center" vertical="center" wrapText="1"/>
    </xf>
    <xf numFmtId="166" fontId="17" fillId="0" borderId="1" xfId="4" applyFont="1" applyBorder="1" applyAlignment="1">
      <alignment horizontal="center" vertical="center"/>
    </xf>
    <xf numFmtId="0" fontId="23" fillId="9" borderId="1" xfId="4" applyNumberFormat="1" applyFont="1" applyFill="1" applyBorder="1" applyAlignment="1">
      <alignment horizontal="left"/>
    </xf>
    <xf numFmtId="166" fontId="21" fillId="6" borderId="1" xfId="4" applyFont="1" applyFill="1" applyBorder="1" applyAlignment="1">
      <alignment horizontal="right"/>
    </xf>
    <xf numFmtId="3" fontId="16" fillId="0" borderId="3" xfId="4" applyNumberFormat="1" applyFont="1" applyBorder="1" applyAlignment="1">
      <alignment horizontal="center" vertical="center"/>
    </xf>
    <xf numFmtId="3" fontId="16" fillId="0" borderId="5" xfId="4" applyNumberFormat="1" applyFont="1" applyBorder="1" applyAlignment="1">
      <alignment horizontal="center" vertical="center"/>
    </xf>
    <xf numFmtId="166" fontId="16" fillId="0" borderId="3" xfId="2" applyFont="1" applyBorder="1" applyAlignment="1">
      <alignment horizontal="center" vertical="center" wrapText="1"/>
    </xf>
    <xf numFmtId="166" fontId="16" fillId="0" borderId="4" xfId="2" applyFont="1" applyBorder="1" applyAlignment="1">
      <alignment horizontal="center" vertical="center" wrapText="1"/>
    </xf>
    <xf numFmtId="166" fontId="16" fillId="0" borderId="5" xfId="2" applyFont="1" applyBorder="1" applyAlignment="1">
      <alignment horizontal="center" vertical="center" wrapText="1"/>
    </xf>
    <xf numFmtId="3" fontId="16" fillId="5" borderId="2" xfId="2" applyNumberFormat="1" applyFont="1" applyFill="1" applyBorder="1" applyAlignment="1">
      <alignment horizontal="center" vertical="center" wrapText="1"/>
    </xf>
    <xf numFmtId="166" fontId="16" fillId="0" borderId="2" xfId="2" applyFont="1" applyBorder="1" applyAlignment="1">
      <alignment horizontal="center" vertical="center" wrapText="1"/>
    </xf>
    <xf numFmtId="3" fontId="24" fillId="10" borderId="2" xfId="2" applyNumberFormat="1" applyFont="1" applyFill="1" applyBorder="1" applyAlignment="1">
      <alignment horizontal="center" vertical="center" wrapText="1"/>
    </xf>
    <xf numFmtId="166" fontId="24" fillId="2" borderId="1" xfId="2" applyFont="1" applyFill="1" applyBorder="1" applyAlignment="1">
      <alignment horizontal="right" vertical="center" wrapText="1"/>
    </xf>
    <xf numFmtId="166" fontId="24" fillId="2" borderId="6" xfId="2" applyFont="1" applyFill="1" applyBorder="1" applyAlignment="1">
      <alignment horizontal="right" vertical="center" wrapText="1"/>
    </xf>
    <xf numFmtId="166" fontId="28" fillId="14" borderId="2" xfId="2" applyFont="1" applyFill="1" applyBorder="1" applyAlignment="1">
      <alignment horizontal="center" vertical="center" wrapText="1"/>
    </xf>
    <xf numFmtId="166" fontId="25" fillId="11" borderId="2" xfId="0" applyFont="1" applyFill="1" applyBorder="1" applyAlignment="1">
      <alignment horizontal="center" vertical="center"/>
    </xf>
  </cellXfs>
  <cellStyles count="8">
    <cellStyle name="Comma" xfId="1" builtinId="3"/>
    <cellStyle name="Normal" xfId="0" builtinId="0"/>
    <cellStyle name="Normal 11 2" xfId="3" xr:uid="{00000000-0005-0000-0000-000002000000}"/>
    <cellStyle name="Normal 2" xfId="5" xr:uid="{00000000-0005-0000-0000-000003000000}"/>
    <cellStyle name="Normal 4" xfId="2" xr:uid="{00000000-0005-0000-0000-000004000000}"/>
    <cellStyle name="Normal 8" xfId="6" xr:uid="{00000000-0005-0000-0000-000005000000}"/>
    <cellStyle name="Normal_Sheet1" xfId="4" xr:uid="{00000000-0005-0000-0000-000006000000}"/>
    <cellStyle name="Percent" xfId="7" builtinId="5"/>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21730</xdr:rowOff>
    </xdr:from>
    <xdr:to>
      <xdr:col>5</xdr:col>
      <xdr:colOff>1785937</xdr:colOff>
      <xdr:row>2</xdr:row>
      <xdr:rowOff>761165</xdr:rowOff>
    </xdr:to>
    <xdr:pic>
      <xdr:nvPicPr>
        <xdr:cNvPr id="3" name="Picture 2">
          <a:extLst>
            <a:ext uri="{FF2B5EF4-FFF2-40B4-BE49-F238E27FC236}">
              <a16:creationId xmlns:a16="http://schemas.microsoft.com/office/drawing/2014/main" id="{7AB249FB-A123-455D-BE7E-C05DD55EC495}"/>
            </a:ext>
          </a:extLst>
        </xdr:cNvPr>
        <xdr:cNvPicPr>
          <a:picLocks noChangeAspect="1"/>
        </xdr:cNvPicPr>
      </xdr:nvPicPr>
      <xdr:blipFill>
        <a:blip xmlns:r="http://schemas.openxmlformats.org/officeDocument/2006/relationships" r:embed="rId1"/>
        <a:stretch>
          <a:fillRect/>
        </a:stretch>
      </xdr:blipFill>
      <xdr:spPr>
        <a:xfrm>
          <a:off x="0" y="21730"/>
          <a:ext cx="10556875" cy="26444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B37"/>
  <sheetViews>
    <sheetView tabSelected="1" view="pageBreakPreview" zoomScale="48" zoomScaleNormal="50" zoomScaleSheetLayoutView="48" workbookViewId="0">
      <selection activeCell="I5" sqref="I5:J5"/>
    </sheetView>
  </sheetViews>
  <sheetFormatPr defaultColWidth="8.44140625" defaultRowHeight="63" customHeight="1"/>
  <cols>
    <col min="1" max="1" width="12.33203125" style="6" customWidth="1"/>
    <col min="2" max="2" width="33.109375" style="6" customWidth="1"/>
    <col min="3" max="3" width="52.33203125" style="2" customWidth="1"/>
    <col min="4" max="4" width="18.6640625" style="7" customWidth="1"/>
    <col min="5" max="5" width="15.109375" style="6" customWidth="1"/>
    <col min="6" max="6" width="27" style="5" customWidth="1"/>
    <col min="7" max="7" width="19.44140625" style="11" customWidth="1"/>
    <col min="8" max="8" width="27" style="2" customWidth="1"/>
    <col min="9" max="9" width="3.88671875" style="2" customWidth="1"/>
    <col min="10" max="10" width="21.88671875" style="4" customWidth="1"/>
    <col min="11" max="11" width="20.44140625" style="2" customWidth="1"/>
    <col min="12" max="12" width="27" style="2" customWidth="1"/>
    <col min="13" max="13" width="15.109375" style="6" customWidth="1"/>
    <col min="14" max="14" width="19.44140625" style="6" customWidth="1"/>
    <col min="15" max="15" width="30.109375" style="2" customWidth="1"/>
    <col min="16" max="16" width="19.88671875" style="6" customWidth="1"/>
    <col min="17" max="18" width="28.6640625" style="4" customWidth="1"/>
    <col min="19" max="19" width="32.6640625" style="4" customWidth="1"/>
    <col min="20" max="20" width="33.88671875" style="3" customWidth="1"/>
    <col min="21" max="21" width="24.6640625" style="75" customWidth="1"/>
    <col min="22" max="22" width="21.44140625" style="93" customWidth="1"/>
    <col min="23" max="23" width="24.44140625" style="94" customWidth="1"/>
    <col min="24" max="16384" width="8.44140625" style="2"/>
  </cols>
  <sheetData>
    <row r="1" spans="1:23" ht="87" customHeight="1">
      <c r="A1" s="1"/>
      <c r="B1" s="1"/>
      <c r="C1" s="1"/>
      <c r="E1" s="67"/>
      <c r="F1" s="14"/>
      <c r="G1" s="141" t="s">
        <v>0</v>
      </c>
      <c r="H1" s="141"/>
      <c r="I1" s="141"/>
      <c r="J1" s="141"/>
      <c r="K1" s="141"/>
      <c r="L1" s="141"/>
      <c r="M1" s="141"/>
      <c r="N1" s="141"/>
      <c r="O1" s="141"/>
      <c r="P1" s="141"/>
      <c r="Q1" s="141"/>
      <c r="R1" s="141"/>
      <c r="S1" s="141"/>
      <c r="T1" s="141"/>
      <c r="U1" s="141"/>
      <c r="V1" s="141"/>
      <c r="W1" s="141"/>
    </row>
    <row r="2" spans="1:23" ht="63" customHeight="1">
      <c r="A2" s="1"/>
      <c r="B2" s="1"/>
      <c r="C2" s="1"/>
      <c r="E2" s="13"/>
      <c r="F2" s="12"/>
      <c r="G2" s="142" t="s">
        <v>48</v>
      </c>
      <c r="H2" s="142"/>
      <c r="I2" s="142"/>
      <c r="J2" s="142"/>
      <c r="K2" s="142"/>
      <c r="L2" s="142"/>
      <c r="M2" s="142"/>
      <c r="N2" s="142"/>
      <c r="O2" s="142"/>
      <c r="P2" s="142"/>
      <c r="Q2" s="142"/>
      <c r="R2" s="142"/>
      <c r="S2" s="142"/>
      <c r="T2" s="142"/>
      <c r="U2" s="142"/>
      <c r="V2" s="142"/>
      <c r="W2" s="142"/>
    </row>
    <row r="3" spans="1:23" ht="63" customHeight="1">
      <c r="A3" s="1"/>
      <c r="B3" s="1"/>
      <c r="C3" s="1"/>
      <c r="E3" s="13"/>
      <c r="F3" s="12"/>
      <c r="G3" s="142" t="s">
        <v>1</v>
      </c>
      <c r="H3" s="142"/>
      <c r="I3" s="142"/>
      <c r="J3" s="142"/>
      <c r="K3" s="142"/>
      <c r="L3" s="142"/>
      <c r="M3" s="142"/>
      <c r="N3" s="142"/>
      <c r="O3" s="142"/>
      <c r="P3" s="142"/>
      <c r="Q3" s="142"/>
      <c r="R3" s="142"/>
      <c r="S3" s="142"/>
      <c r="T3" s="142"/>
      <c r="U3" s="142"/>
      <c r="V3" s="142"/>
      <c r="W3" s="142"/>
    </row>
    <row r="4" spans="1:23" ht="72" customHeight="1">
      <c r="A4" s="143" t="s">
        <v>37</v>
      </c>
      <c r="B4" s="143"/>
      <c r="C4" s="143"/>
      <c r="D4" s="143"/>
      <c r="E4" s="143"/>
      <c r="F4" s="143"/>
      <c r="G4" s="143"/>
      <c r="H4" s="143"/>
      <c r="I4" s="143"/>
      <c r="J4" s="143"/>
      <c r="K4" s="143"/>
      <c r="L4" s="143"/>
      <c r="M4" s="143"/>
      <c r="N4" s="143"/>
      <c r="O4" s="143"/>
      <c r="P4" s="143"/>
      <c r="Q4" s="143"/>
      <c r="R4" s="143"/>
      <c r="S4" s="143"/>
      <c r="T4" s="143"/>
      <c r="U4" s="143"/>
      <c r="V4" s="143"/>
      <c r="W4" s="143"/>
    </row>
    <row r="5" spans="1:23" s="4" customFormat="1" ht="51" customHeight="1">
      <c r="A5" s="15" t="s">
        <v>2</v>
      </c>
      <c r="B5" s="15"/>
      <c r="C5" s="15"/>
      <c r="D5" s="15"/>
      <c r="E5" s="82"/>
      <c r="F5" s="146" t="s">
        <v>44</v>
      </c>
      <c r="G5" s="146"/>
      <c r="H5" s="146"/>
      <c r="I5" s="145"/>
      <c r="J5" s="145"/>
      <c r="K5" s="144" t="s">
        <v>38</v>
      </c>
      <c r="L5" s="144"/>
      <c r="M5" s="144"/>
      <c r="N5" s="144"/>
      <c r="O5" s="48"/>
      <c r="P5" s="82"/>
      <c r="Q5" s="18"/>
      <c r="R5" s="18"/>
      <c r="S5" s="18"/>
      <c r="T5" s="17"/>
      <c r="U5" s="70"/>
      <c r="V5" s="74"/>
      <c r="W5" s="90"/>
    </row>
    <row r="6" spans="1:23" s="1" customFormat="1" ht="46.5" customHeight="1">
      <c r="A6" s="49" t="s">
        <v>20</v>
      </c>
      <c r="B6" s="49"/>
      <c r="C6" s="58" t="e">
        <f>+#REF!</f>
        <v>#REF!</v>
      </c>
      <c r="D6" s="49"/>
      <c r="E6" s="49"/>
      <c r="F6" s="49"/>
      <c r="G6" s="49"/>
      <c r="H6" s="47" t="s">
        <v>45</v>
      </c>
      <c r="I6" s="49"/>
      <c r="J6" s="76"/>
      <c r="K6" s="49"/>
      <c r="L6" s="49"/>
      <c r="M6" s="62"/>
      <c r="N6" s="49"/>
      <c r="O6" s="49"/>
      <c r="P6" s="62"/>
      <c r="Q6" s="76"/>
      <c r="R6" s="76"/>
      <c r="S6" s="76"/>
      <c r="T6" s="49"/>
      <c r="U6" s="62"/>
      <c r="V6" s="62"/>
      <c r="W6" s="62"/>
    </row>
    <row r="7" spans="1:23" s="1" customFormat="1" ht="46.5" customHeight="1">
      <c r="A7" s="49" t="s">
        <v>23</v>
      </c>
      <c r="B7" s="49"/>
      <c r="C7" s="49" t="e">
        <f>+#REF!</f>
        <v>#REF!</v>
      </c>
      <c r="D7" s="49"/>
      <c r="E7" s="49"/>
      <c r="F7" s="49"/>
      <c r="G7" s="49"/>
      <c r="H7" s="49"/>
      <c r="I7" s="49"/>
      <c r="J7" s="49"/>
      <c r="K7" s="49"/>
      <c r="L7" s="49"/>
      <c r="M7" s="49"/>
      <c r="N7" s="49"/>
      <c r="O7" s="49"/>
      <c r="P7" s="49"/>
      <c r="Q7" s="49"/>
      <c r="R7" s="49"/>
      <c r="S7" s="49"/>
      <c r="T7" s="49"/>
      <c r="U7" s="49"/>
      <c r="V7" s="49"/>
      <c r="W7" s="49"/>
    </row>
    <row r="8" spans="1:23" s="1" customFormat="1" ht="46.5" customHeight="1">
      <c r="A8" s="49" t="s">
        <v>22</v>
      </c>
      <c r="B8" s="49"/>
      <c r="C8" s="49" t="e">
        <f>+#REF!</f>
        <v>#REF!</v>
      </c>
      <c r="D8" s="49"/>
      <c r="E8" s="49"/>
      <c r="F8" s="49"/>
      <c r="G8" s="49"/>
      <c r="H8" s="49"/>
      <c r="I8" s="49"/>
      <c r="J8" s="49"/>
      <c r="K8" s="49"/>
      <c r="L8" s="49"/>
      <c r="M8" s="49"/>
      <c r="N8" s="49"/>
      <c r="O8" s="49"/>
      <c r="P8" s="49"/>
      <c r="Q8" s="49"/>
      <c r="R8" s="49"/>
      <c r="S8" s="49"/>
      <c r="T8" s="49"/>
      <c r="U8" s="49"/>
      <c r="V8" s="49"/>
      <c r="W8" s="49"/>
    </row>
    <row r="9" spans="1:23" s="1" customFormat="1" ht="46.5" customHeight="1">
      <c r="A9" s="49" t="s">
        <v>32</v>
      </c>
      <c r="B9" s="49"/>
      <c r="C9" s="114" t="e">
        <f>+#REF!</f>
        <v>#REF!</v>
      </c>
      <c r="D9" s="49"/>
      <c r="E9" s="49"/>
      <c r="F9" s="49"/>
      <c r="G9" s="49"/>
      <c r="H9" s="49"/>
      <c r="I9" s="49"/>
      <c r="J9" s="49"/>
      <c r="K9" s="49"/>
      <c r="L9" s="49"/>
      <c r="M9" s="49"/>
      <c r="N9" s="49"/>
      <c r="O9" s="49"/>
      <c r="P9" s="49"/>
      <c r="Q9" s="49"/>
      <c r="R9" s="49"/>
      <c r="S9" s="49"/>
      <c r="T9" s="49"/>
      <c r="U9" s="49"/>
      <c r="V9" s="49"/>
      <c r="W9" s="49"/>
    </row>
    <row r="10" spans="1:23" s="1" customFormat="1" ht="51.75" customHeight="1">
      <c r="A10" s="102" t="s">
        <v>42</v>
      </c>
      <c r="B10" s="102"/>
      <c r="C10" s="103" t="e">
        <f>+#REF!</f>
        <v>#REF!</v>
      </c>
      <c r="D10" s="139" t="s">
        <v>43</v>
      </c>
      <c r="E10" s="139"/>
      <c r="F10" s="139"/>
      <c r="G10" s="140"/>
      <c r="H10" s="140"/>
      <c r="I10" s="89"/>
      <c r="J10" s="89"/>
      <c r="K10" s="89"/>
      <c r="L10" s="89"/>
      <c r="M10" s="89"/>
      <c r="N10" s="89"/>
      <c r="O10" s="89"/>
      <c r="P10" s="89"/>
      <c r="Q10" s="89"/>
      <c r="R10" s="89"/>
      <c r="S10" s="89"/>
      <c r="T10" s="89"/>
      <c r="U10" s="89"/>
      <c r="V10" s="89"/>
      <c r="W10" s="89"/>
    </row>
    <row r="11" spans="1:23" ht="127.5" customHeight="1">
      <c r="A11" s="43" t="s">
        <v>3</v>
      </c>
      <c r="B11" s="43" t="s">
        <v>31</v>
      </c>
      <c r="C11" s="43" t="s">
        <v>12</v>
      </c>
      <c r="D11" s="43" t="s">
        <v>4</v>
      </c>
      <c r="E11" s="43" t="s">
        <v>16</v>
      </c>
      <c r="F11" s="44" t="s">
        <v>29</v>
      </c>
      <c r="G11" s="44" t="s">
        <v>17</v>
      </c>
      <c r="H11" s="43" t="s">
        <v>5</v>
      </c>
      <c r="I11" s="45"/>
      <c r="J11" s="100" t="s">
        <v>15</v>
      </c>
      <c r="K11" s="43" t="s">
        <v>13</v>
      </c>
      <c r="L11" s="43" t="s">
        <v>14</v>
      </c>
      <c r="M11" s="43" t="s">
        <v>18</v>
      </c>
      <c r="N11" s="43" t="s">
        <v>19</v>
      </c>
      <c r="O11" s="43" t="s">
        <v>5</v>
      </c>
      <c r="P11" s="43" t="s">
        <v>21</v>
      </c>
      <c r="Q11" s="44" t="s">
        <v>50</v>
      </c>
      <c r="R11" s="44" t="s">
        <v>49</v>
      </c>
      <c r="S11" s="115" t="s">
        <v>51</v>
      </c>
      <c r="T11" s="46" t="s">
        <v>9</v>
      </c>
      <c r="U11" s="43" t="s">
        <v>27</v>
      </c>
      <c r="V11" s="43" t="s">
        <v>34</v>
      </c>
      <c r="W11" s="43" t="s">
        <v>35</v>
      </c>
    </row>
    <row r="12" spans="1:23" s="69" customFormat="1" ht="74.25" customHeight="1">
      <c r="A12" s="19">
        <v>1</v>
      </c>
      <c r="B12" s="87" t="s">
        <v>33</v>
      </c>
      <c r="C12" s="117" t="s">
        <v>11</v>
      </c>
      <c r="D12" s="20" t="s">
        <v>10</v>
      </c>
      <c r="E12" s="104">
        <v>3</v>
      </c>
      <c r="F12" s="21">
        <v>50000</v>
      </c>
      <c r="G12" s="22">
        <v>0.08</v>
      </c>
      <c r="H12" s="23">
        <f>(F12*E12)+(F12*E12*G12)</f>
        <v>162000</v>
      </c>
      <c r="I12" s="23"/>
      <c r="J12" s="85">
        <v>8.5</v>
      </c>
      <c r="K12" s="21">
        <v>3650</v>
      </c>
      <c r="L12" s="21">
        <v>31025</v>
      </c>
      <c r="M12" s="104">
        <v>3</v>
      </c>
      <c r="N12" s="22">
        <v>0.08</v>
      </c>
      <c r="O12" s="24">
        <f>(L12*M12)+(L12*M12*N12)</f>
        <v>100521</v>
      </c>
      <c r="P12" s="86" t="e">
        <f>+#REF!</f>
        <v>#REF!</v>
      </c>
      <c r="Q12" s="77" t="e">
        <f>P12*50000/M12+200000/M12</f>
        <v>#REF!</v>
      </c>
      <c r="R12" s="77">
        <f>$R$13/$L$13*L12</f>
        <v>83333.333333333328</v>
      </c>
      <c r="S12" s="118" t="e">
        <f>L12+Q12+R12</f>
        <v>#REF!</v>
      </c>
      <c r="T12" s="88" t="e">
        <f>+#REF!</f>
        <v>#REF!</v>
      </c>
      <c r="U12" s="71" t="e">
        <f>+#REF!</f>
        <v>#REF!</v>
      </c>
      <c r="V12" s="91">
        <v>581</v>
      </c>
      <c r="W12" s="91" t="s">
        <v>36</v>
      </c>
    </row>
    <row r="13" spans="1:23" s="1" customFormat="1" ht="63" customHeight="1">
      <c r="A13" s="50"/>
      <c r="B13" s="149" t="s">
        <v>25</v>
      </c>
      <c r="C13" s="150"/>
      <c r="D13" s="151"/>
      <c r="E13" s="152">
        <f>SUMPRODUCT(E12:E12,F12:F12)</f>
        <v>150000</v>
      </c>
      <c r="F13" s="152"/>
      <c r="G13" s="68">
        <f>SUMPRODUCT(E12:E12,F12:F12,G12:G12)</f>
        <v>12000</v>
      </c>
      <c r="H13" s="51">
        <f>SUM(H12:H12)</f>
        <v>162000</v>
      </c>
      <c r="I13" s="52"/>
      <c r="J13" s="153" t="s">
        <v>26</v>
      </c>
      <c r="K13" s="153"/>
      <c r="L13" s="152">
        <f>SUMPRODUCT(L8:L12,M8:M12)</f>
        <v>93075</v>
      </c>
      <c r="M13" s="152"/>
      <c r="N13" s="68">
        <f>SUMPRODUCT(L8:L12,M8:M12,N8:N12)</f>
        <v>7446</v>
      </c>
      <c r="O13" s="52">
        <f>SUM(O8:O12)</f>
        <v>100521</v>
      </c>
      <c r="P13" s="83"/>
      <c r="Q13" s="68" t="e">
        <f>SUMPRODUCT(Q8:Q12,M8:M12)</f>
        <v>#REF!</v>
      </c>
      <c r="R13" s="116">
        <f>50000+200000</f>
        <v>250000</v>
      </c>
      <c r="S13" s="68" t="e">
        <f>SUMPRODUCT(S8:S12,M8:M12)</f>
        <v>#REF!</v>
      </c>
      <c r="T13" s="119" t="e">
        <f>O13+Q13+R13</f>
        <v>#REF!</v>
      </c>
      <c r="U13" s="72"/>
      <c r="V13" s="91"/>
      <c r="W13" s="91"/>
    </row>
    <row r="14" spans="1:23" ht="50.4" customHeight="1">
      <c r="A14" s="53"/>
      <c r="B14" s="53"/>
      <c r="C14" s="155"/>
      <c r="D14" s="156"/>
      <c r="E14" s="154">
        <f>SUMIF(N12:N12,"0",H12:H12)</f>
        <v>0</v>
      </c>
      <c r="F14" s="154"/>
      <c r="G14" s="98" t="s">
        <v>28</v>
      </c>
      <c r="H14" s="99" t="e">
        <f>T13/H13</f>
        <v>#REF!</v>
      </c>
      <c r="I14" s="101"/>
      <c r="J14" s="157" t="s">
        <v>47</v>
      </c>
      <c r="K14" s="157"/>
      <c r="L14" s="157"/>
      <c r="M14" s="158" t="s">
        <v>30</v>
      </c>
      <c r="N14" s="158"/>
      <c r="O14" s="113" t="e">
        <f>O13+Q13</f>
        <v>#REF!</v>
      </c>
      <c r="P14" s="112" t="s">
        <v>24</v>
      </c>
      <c r="Q14" s="132" t="s">
        <v>41</v>
      </c>
      <c r="R14" s="132"/>
      <c r="S14" s="111"/>
      <c r="T14" s="112" t="s">
        <v>24</v>
      </c>
      <c r="V14" s="106"/>
      <c r="W14" s="106"/>
    </row>
    <row r="15" spans="1:23" ht="50.4" customHeight="1">
      <c r="A15" s="53"/>
      <c r="B15" s="53"/>
      <c r="C15" s="54"/>
      <c r="D15" s="54"/>
      <c r="E15" s="54"/>
      <c r="F15" s="54"/>
      <c r="G15" s="55"/>
      <c r="H15" s="56"/>
      <c r="I15" s="101"/>
      <c r="J15" s="157"/>
      <c r="K15" s="157"/>
      <c r="L15" s="157"/>
      <c r="M15" s="133" t="s">
        <v>39</v>
      </c>
      <c r="N15" s="133"/>
      <c r="O15" s="96"/>
      <c r="P15" s="97" t="s">
        <v>24</v>
      </c>
      <c r="Q15" s="134" t="s">
        <v>46</v>
      </c>
      <c r="R15" s="134"/>
      <c r="S15" s="105"/>
      <c r="T15" s="97" t="s">
        <v>24</v>
      </c>
      <c r="V15" s="92"/>
      <c r="W15" s="92"/>
    </row>
    <row r="16" spans="1:23" ht="50.4" customHeight="1">
      <c r="A16" s="53"/>
      <c r="B16" s="53"/>
      <c r="C16" s="54"/>
      <c r="D16" s="54"/>
      <c r="E16" s="54"/>
      <c r="F16" s="54"/>
      <c r="G16" s="55"/>
      <c r="H16" s="58"/>
      <c r="I16" s="58"/>
      <c r="J16" s="107"/>
      <c r="K16" s="108"/>
      <c r="L16" s="109"/>
      <c r="M16" s="147" t="s">
        <v>56</v>
      </c>
      <c r="N16" s="148"/>
      <c r="O16" s="121"/>
      <c r="P16" s="122" t="s">
        <v>24</v>
      </c>
      <c r="Q16" s="137" t="s">
        <v>53</v>
      </c>
      <c r="R16" s="137"/>
      <c r="S16" s="113" t="e">
        <f>T13-O14</f>
        <v>#REF!</v>
      </c>
      <c r="T16" s="112" t="s">
        <v>24</v>
      </c>
      <c r="U16" s="120" t="s">
        <v>54</v>
      </c>
      <c r="V16" s="138"/>
      <c r="W16" s="138"/>
    </row>
    <row r="17" spans="1:28" ht="50.4" customHeight="1">
      <c r="A17" s="53"/>
      <c r="B17" s="53"/>
      <c r="C17" s="54"/>
      <c r="D17" s="54"/>
      <c r="E17" s="54"/>
      <c r="F17" s="54"/>
      <c r="G17" s="55"/>
      <c r="H17" s="58"/>
      <c r="I17" s="58"/>
      <c r="J17" s="107"/>
      <c r="K17" s="108"/>
      <c r="L17" s="109"/>
      <c r="M17" s="110"/>
      <c r="N17" s="57"/>
      <c r="O17" s="59"/>
      <c r="P17" s="61"/>
      <c r="Q17" s="78"/>
      <c r="R17" s="78"/>
      <c r="S17" s="78"/>
      <c r="T17" s="60"/>
      <c r="U17" s="73"/>
      <c r="V17" s="92"/>
      <c r="W17" s="92"/>
    </row>
    <row r="18" spans="1:28" ht="51" customHeight="1">
      <c r="A18" s="123" t="s">
        <v>40</v>
      </c>
      <c r="B18" s="123"/>
      <c r="C18" s="123"/>
      <c r="D18" s="123" t="s">
        <v>6</v>
      </c>
      <c r="E18" s="123"/>
      <c r="F18" s="123"/>
      <c r="G18" s="124" t="s">
        <v>7</v>
      </c>
      <c r="H18" s="124"/>
      <c r="I18" s="62"/>
      <c r="J18" s="123" t="s">
        <v>8</v>
      </c>
      <c r="K18" s="123"/>
      <c r="L18" s="123"/>
      <c r="M18" s="123"/>
      <c r="N18" s="123"/>
      <c r="O18" s="58"/>
      <c r="P18" s="66"/>
      <c r="Q18" s="78"/>
      <c r="R18" s="78"/>
      <c r="S18" s="78"/>
      <c r="T18" s="136" t="s">
        <v>52</v>
      </c>
      <c r="U18" s="136"/>
      <c r="V18" s="136"/>
      <c r="W18" s="136"/>
    </row>
    <row r="19" spans="1:28" ht="48.75" customHeight="1">
      <c r="A19" s="57"/>
      <c r="B19" s="57"/>
      <c r="C19" s="59"/>
      <c r="D19" s="63"/>
      <c r="E19" s="57"/>
      <c r="F19" s="64"/>
      <c r="G19" s="65"/>
      <c r="H19" s="59"/>
      <c r="I19" s="59"/>
      <c r="J19" s="79"/>
      <c r="K19" s="59"/>
      <c r="L19" s="59"/>
      <c r="M19" s="57"/>
      <c r="N19" s="57"/>
      <c r="O19" s="59"/>
      <c r="P19" s="57"/>
      <c r="Q19" s="79"/>
      <c r="R19" s="79"/>
      <c r="S19" s="79"/>
      <c r="T19" s="136"/>
      <c r="U19" s="136"/>
      <c r="V19" s="136"/>
      <c r="W19" s="136"/>
    </row>
    <row r="20" spans="1:28" ht="58.2" customHeight="1">
      <c r="A20" s="57"/>
      <c r="B20" s="57"/>
      <c r="C20" s="59"/>
      <c r="D20" s="63"/>
      <c r="E20" s="57"/>
      <c r="F20" s="64"/>
      <c r="G20" s="65"/>
      <c r="H20" s="59"/>
      <c r="I20" s="59"/>
      <c r="J20" s="79"/>
      <c r="K20" s="59"/>
      <c r="L20" s="59"/>
      <c r="M20" s="57"/>
      <c r="N20" s="57"/>
      <c r="O20" s="59"/>
      <c r="P20" s="57"/>
      <c r="Q20" s="79"/>
      <c r="R20" s="79"/>
      <c r="S20" s="79"/>
      <c r="T20" s="136"/>
      <c r="U20" s="136"/>
      <c r="V20" s="136"/>
      <c r="W20" s="136"/>
      <c r="Y20" s="135"/>
      <c r="Z20" s="135"/>
      <c r="AA20" s="135"/>
      <c r="AB20" s="135"/>
    </row>
    <row r="21" spans="1:28" ht="48.75" customHeight="1">
      <c r="A21" s="57"/>
      <c r="B21" s="57"/>
      <c r="C21" s="59"/>
      <c r="D21" s="63"/>
      <c r="E21" s="57"/>
      <c r="F21" s="64"/>
      <c r="G21" s="65"/>
      <c r="H21" s="59"/>
      <c r="I21" s="59"/>
      <c r="J21" s="79"/>
      <c r="K21" s="59"/>
      <c r="L21" s="59"/>
      <c r="M21" s="57"/>
      <c r="N21" s="57"/>
      <c r="O21" s="59"/>
      <c r="P21" s="57"/>
      <c r="Q21" s="79"/>
      <c r="R21" s="79"/>
      <c r="S21" s="79"/>
      <c r="T21" s="136"/>
      <c r="U21" s="136"/>
      <c r="V21" s="136"/>
      <c r="W21" s="136"/>
      <c r="Y21" s="135"/>
      <c r="Z21" s="135"/>
      <c r="AA21" s="135"/>
      <c r="AB21" s="135"/>
    </row>
    <row r="22" spans="1:28" ht="51.6" customHeight="1">
      <c r="A22" s="128" t="e">
        <f>C6</f>
        <v>#REF!</v>
      </c>
      <c r="B22" s="128"/>
      <c r="C22" s="128"/>
      <c r="D22" s="129"/>
      <c r="E22" s="129"/>
      <c r="F22" s="129"/>
      <c r="G22" s="130" t="s">
        <v>55</v>
      </c>
      <c r="H22" s="130"/>
      <c r="I22" s="16"/>
      <c r="J22" s="131"/>
      <c r="K22" s="131"/>
      <c r="L22" s="131"/>
      <c r="M22" s="131"/>
      <c r="N22" s="131"/>
      <c r="O22" s="16"/>
      <c r="P22" s="26"/>
      <c r="Q22" s="18"/>
      <c r="T22" s="136"/>
      <c r="U22" s="136"/>
      <c r="V22" s="136"/>
      <c r="W22" s="136"/>
      <c r="Y22" s="135"/>
      <c r="Z22" s="135"/>
      <c r="AA22" s="135"/>
      <c r="AB22" s="135"/>
    </row>
    <row r="23" spans="1:28" ht="85.2" customHeight="1">
      <c r="A23" s="125"/>
      <c r="B23" s="125"/>
      <c r="C23" s="125"/>
      <c r="D23" s="126"/>
      <c r="E23" s="126"/>
      <c r="F23" s="126"/>
      <c r="G23" s="127"/>
      <c r="H23" s="127"/>
      <c r="I23" s="28"/>
      <c r="J23" s="126"/>
      <c r="K23" s="126"/>
      <c r="L23" s="126"/>
      <c r="M23" s="126"/>
      <c r="N23" s="126"/>
      <c r="O23" s="42"/>
      <c r="P23" s="28"/>
      <c r="Q23" s="18"/>
      <c r="R23" s="18"/>
      <c r="S23" s="18"/>
      <c r="Y23" s="135"/>
      <c r="Z23" s="135"/>
      <c r="AA23" s="135"/>
      <c r="AB23" s="135"/>
    </row>
    <row r="24" spans="1:28" ht="118.95" customHeight="1">
      <c r="A24" s="31"/>
      <c r="B24" s="31"/>
      <c r="C24" s="16"/>
      <c r="D24" s="25"/>
      <c r="E24" s="26"/>
      <c r="F24" s="29"/>
      <c r="G24" s="30"/>
      <c r="H24" s="16"/>
      <c r="I24" s="16"/>
      <c r="J24" s="18"/>
      <c r="K24" s="16"/>
      <c r="L24" s="16"/>
      <c r="M24" s="26"/>
      <c r="N24" s="26"/>
      <c r="O24" s="16"/>
      <c r="P24" s="26"/>
      <c r="Q24" s="18"/>
      <c r="R24" s="18"/>
      <c r="S24" s="18"/>
      <c r="Y24" s="135"/>
      <c r="Z24" s="135"/>
      <c r="AA24" s="135"/>
      <c r="AB24" s="135"/>
    </row>
    <row r="25" spans="1:28" ht="63" customHeight="1">
      <c r="A25" s="32"/>
      <c r="B25" s="32"/>
      <c r="C25" s="33"/>
      <c r="D25" s="25"/>
      <c r="E25" s="34"/>
      <c r="F25" s="35"/>
      <c r="G25" s="36"/>
      <c r="H25" s="33"/>
      <c r="I25" s="33"/>
      <c r="J25" s="18"/>
      <c r="K25" s="16"/>
      <c r="L25" s="16"/>
      <c r="M25" s="26"/>
      <c r="N25" s="26"/>
      <c r="O25" s="16"/>
      <c r="P25" s="26"/>
      <c r="Q25" s="18"/>
      <c r="R25" s="18"/>
      <c r="S25" s="18"/>
      <c r="T25" s="27"/>
      <c r="U25" s="70"/>
      <c r="V25" s="74"/>
      <c r="W25" s="90"/>
    </row>
    <row r="26" spans="1:28" s="9" customFormat="1" ht="63" customHeight="1">
      <c r="A26" s="32"/>
      <c r="B26" s="32"/>
      <c r="C26" s="33"/>
      <c r="D26" s="25"/>
      <c r="E26" s="34"/>
      <c r="F26" s="35"/>
      <c r="G26" s="36"/>
      <c r="H26" s="33"/>
      <c r="I26" s="33"/>
      <c r="J26" s="18"/>
      <c r="K26" s="16"/>
      <c r="L26" s="16"/>
      <c r="M26" s="26"/>
      <c r="N26" s="26"/>
      <c r="O26" s="16"/>
      <c r="P26" s="26"/>
      <c r="Q26" s="80"/>
      <c r="R26" s="80"/>
      <c r="S26" s="80"/>
      <c r="T26" s="37"/>
      <c r="U26" s="74"/>
      <c r="V26" s="74"/>
      <c r="W26" s="28"/>
    </row>
    <row r="27" spans="1:28" ht="63" customHeight="1">
      <c r="A27" s="34"/>
      <c r="B27" s="34"/>
      <c r="C27" s="33"/>
      <c r="D27" s="25"/>
      <c r="E27" s="34"/>
      <c r="F27" s="35"/>
      <c r="G27" s="36"/>
      <c r="H27" s="33"/>
      <c r="I27" s="33"/>
      <c r="J27" s="18"/>
      <c r="K27" s="16"/>
      <c r="L27" s="16"/>
      <c r="M27" s="26"/>
      <c r="N27" s="26"/>
      <c r="O27" s="16"/>
      <c r="P27" s="26"/>
      <c r="Q27" s="18"/>
      <c r="R27" s="18"/>
      <c r="S27" s="18"/>
      <c r="T27" s="27"/>
      <c r="U27" s="70"/>
      <c r="V27" s="74"/>
      <c r="W27" s="90"/>
    </row>
    <row r="28" spans="1:28" ht="63" customHeight="1">
      <c r="A28" s="38"/>
      <c r="B28" s="38"/>
      <c r="C28" s="38"/>
      <c r="D28" s="31"/>
      <c r="E28" s="31"/>
      <c r="F28" s="39"/>
      <c r="G28" s="40"/>
      <c r="H28" s="41"/>
      <c r="I28" s="41"/>
      <c r="J28" s="84"/>
      <c r="K28" s="38"/>
      <c r="L28" s="38"/>
      <c r="M28" s="31"/>
      <c r="N28" s="31"/>
      <c r="O28" s="38"/>
      <c r="P28" s="31"/>
      <c r="Q28" s="18"/>
      <c r="R28" s="18"/>
      <c r="S28" s="18"/>
      <c r="T28" s="27"/>
      <c r="U28" s="70"/>
      <c r="V28" s="74"/>
      <c r="W28" s="90"/>
    </row>
    <row r="29" spans="1:28" ht="63" customHeight="1">
      <c r="A29" s="26"/>
      <c r="B29" s="26"/>
      <c r="C29" s="16"/>
      <c r="D29" s="25"/>
      <c r="E29" s="26"/>
      <c r="F29" s="29"/>
      <c r="G29" s="30"/>
      <c r="H29" s="16"/>
      <c r="I29" s="16"/>
      <c r="J29" s="18"/>
      <c r="K29" s="16"/>
      <c r="L29" s="16"/>
      <c r="M29" s="26"/>
      <c r="N29" s="26"/>
      <c r="O29" s="16"/>
      <c r="P29" s="26"/>
      <c r="Q29" s="18"/>
      <c r="R29" s="18"/>
      <c r="S29" s="18"/>
      <c r="T29" s="27"/>
      <c r="U29" s="70"/>
      <c r="V29" s="74"/>
      <c r="W29" s="90"/>
    </row>
    <row r="30" spans="1:28" ht="63" customHeight="1">
      <c r="A30" s="26"/>
      <c r="B30" s="26"/>
      <c r="C30" s="16"/>
      <c r="D30" s="25"/>
      <c r="E30" s="26"/>
      <c r="F30" s="29"/>
      <c r="G30" s="30"/>
      <c r="H30" s="16"/>
      <c r="I30" s="16"/>
      <c r="J30" s="18"/>
      <c r="K30" s="16"/>
      <c r="L30" s="16"/>
      <c r="M30" s="26"/>
      <c r="N30" s="26"/>
      <c r="O30" s="16"/>
      <c r="P30" s="26"/>
      <c r="Q30" s="18"/>
      <c r="R30" s="18"/>
      <c r="S30" s="18"/>
      <c r="T30" s="27"/>
      <c r="U30" s="70"/>
      <c r="V30" s="74"/>
      <c r="W30" s="90"/>
    </row>
    <row r="31" spans="1:28" ht="63" customHeight="1">
      <c r="A31" s="26"/>
      <c r="B31" s="26"/>
      <c r="C31" s="16"/>
      <c r="D31" s="25"/>
      <c r="E31" s="26"/>
      <c r="F31" s="29"/>
      <c r="G31" s="30"/>
      <c r="H31" s="16"/>
      <c r="I31" s="16"/>
      <c r="J31" s="18"/>
      <c r="K31" s="16"/>
      <c r="L31" s="16"/>
      <c r="M31" s="26"/>
      <c r="N31" s="26"/>
      <c r="O31" s="16"/>
      <c r="P31" s="26"/>
      <c r="Q31" s="18"/>
      <c r="R31" s="18"/>
      <c r="S31" s="18"/>
      <c r="T31" s="27"/>
      <c r="U31" s="70"/>
      <c r="V31" s="74"/>
      <c r="W31" s="90"/>
    </row>
    <row r="34" spans="1:23" ht="63" customHeight="1">
      <c r="A34" s="8"/>
      <c r="B34" s="8"/>
    </row>
    <row r="35" spans="1:23" s="10" customFormat="1" ht="63" customHeight="1">
      <c r="A35" s="6"/>
      <c r="B35" s="6"/>
      <c r="C35" s="2"/>
      <c r="D35" s="7"/>
      <c r="E35" s="6"/>
      <c r="F35" s="5"/>
      <c r="G35" s="11"/>
      <c r="H35" s="2"/>
      <c r="I35" s="2"/>
      <c r="J35" s="4"/>
      <c r="K35" s="2"/>
      <c r="L35" s="2"/>
      <c r="M35" s="6"/>
      <c r="N35" s="6"/>
      <c r="O35" s="2"/>
      <c r="P35" s="6"/>
      <c r="Q35" s="81"/>
      <c r="R35" s="81"/>
      <c r="S35" s="81"/>
      <c r="T35" s="3"/>
      <c r="U35" s="75"/>
      <c r="V35" s="93"/>
      <c r="W35" s="95"/>
    </row>
    <row r="37" spans="1:23" s="6" customFormat="1" ht="63" customHeight="1">
      <c r="C37" s="2"/>
      <c r="D37" s="7"/>
      <c r="F37" s="5"/>
      <c r="G37" s="11"/>
      <c r="H37" s="2"/>
      <c r="I37" s="2"/>
      <c r="J37" s="4"/>
      <c r="K37" s="2"/>
      <c r="L37" s="2"/>
      <c r="O37" s="2"/>
      <c r="Q37" s="4"/>
      <c r="R37" s="4"/>
      <c r="S37" s="4"/>
      <c r="T37" s="3"/>
      <c r="U37" s="75"/>
      <c r="V37" s="93"/>
      <c r="W37" s="94"/>
    </row>
  </sheetData>
  <mergeCells count="37">
    <mergeCell ref="B13:D13"/>
    <mergeCell ref="E13:F13"/>
    <mergeCell ref="J13:K13"/>
    <mergeCell ref="L13:M13"/>
    <mergeCell ref="E14:F14"/>
    <mergeCell ref="C14:D14"/>
    <mergeCell ref="J14:L15"/>
    <mergeCell ref="M14:N14"/>
    <mergeCell ref="D10:F10"/>
    <mergeCell ref="G10:H10"/>
    <mergeCell ref="G1:W1"/>
    <mergeCell ref="G2:W2"/>
    <mergeCell ref="G3:W3"/>
    <mergeCell ref="A4:W4"/>
    <mergeCell ref="K5:N5"/>
    <mergeCell ref="I5:J5"/>
    <mergeCell ref="F5:H5"/>
    <mergeCell ref="Q14:R14"/>
    <mergeCell ref="M15:N15"/>
    <mergeCell ref="Q15:R15"/>
    <mergeCell ref="Y20:AB24"/>
    <mergeCell ref="T18:W22"/>
    <mergeCell ref="Q16:R16"/>
    <mergeCell ref="V16:W16"/>
    <mergeCell ref="M16:N16"/>
    <mergeCell ref="A18:C18"/>
    <mergeCell ref="D18:F18"/>
    <mergeCell ref="G18:H18"/>
    <mergeCell ref="J18:N18"/>
    <mergeCell ref="A23:C23"/>
    <mergeCell ref="D23:F23"/>
    <mergeCell ref="G23:H23"/>
    <mergeCell ref="J23:N23"/>
    <mergeCell ref="A22:C22"/>
    <mergeCell ref="D22:F22"/>
    <mergeCell ref="G22:H22"/>
    <mergeCell ref="J22:N22"/>
  </mergeCells>
  <pageMargins left="0.7" right="0.7" top="0.75" bottom="0.75" header="0.3" footer="0.3"/>
  <pageSetup scale="21" fitToHeight="0"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ĐNTT</vt:lpstr>
      <vt:lpstr>ĐNTT!Print_Area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NguyenHongAnh</dc:creator>
  <cp:lastModifiedBy>Windows User</cp:lastModifiedBy>
  <cp:lastPrinted>2026-01-02T06:49:04Z</cp:lastPrinted>
  <dcterms:created xsi:type="dcterms:W3CDTF">2023-05-12T04:43:23Z</dcterms:created>
  <dcterms:modified xsi:type="dcterms:W3CDTF">2026-05-04T07:25:43Z</dcterms:modified>
</cp:coreProperties>
</file>