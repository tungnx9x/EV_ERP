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Dev\EV_ERP\SourceCode\EV_ERP\EV_ERP\wwwroot\templates\"/>
    </mc:Choice>
  </mc:AlternateContent>
  <xr:revisionPtr revIDLastSave="0" documentId="13_ncr:1_{E24A1068-60E1-4EA7-AFAE-2EE8B42103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CKQKD" sheetId="1" r:id="rId1"/>
  </sheets>
  <definedNames>
    <definedName name="_xlnm.Print_Area" localSheetId="0">BCKQKD!$A$1:$N$39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3" i="1"/>
  <c r="G20" i="1" s="1"/>
  <c r="J13" i="1" l="1"/>
  <c r="I19" i="1"/>
  <c r="N13" i="1"/>
  <c r="M13" i="1"/>
  <c r="H13" i="1"/>
  <c r="G22" i="1" s="1"/>
  <c r="I22" i="1" s="1"/>
  <c r="I24" i="1" l="1"/>
  <c r="I29" i="1"/>
  <c r="I25" i="1"/>
  <c r="I28" i="1"/>
  <c r="I13" i="1"/>
  <c r="G17" i="1" l="1"/>
  <c r="I20" i="1"/>
  <c r="I23" i="1"/>
  <c r="I21" i="1"/>
  <c r="I17" i="1" l="1"/>
  <c r="I26" i="1" l="1"/>
  <c r="I30" i="1" s="1"/>
  <c r="I27" i="1" l="1"/>
  <c r="M31" i="1" s="1"/>
  <c r="I31" i="1" l="1"/>
  <c r="I32" i="1" l="1"/>
  <c r="I33" i="1"/>
  <c r="M33" i="1" l="1"/>
</calcChain>
</file>

<file path=xl/sharedStrings.xml><?xml version="1.0" encoding="utf-8"?>
<sst xmlns="http://schemas.openxmlformats.org/spreadsheetml/2006/main" count="81" uniqueCount="78">
  <si>
    <t>CÔNG TY CỔ PHẦN TƯ VẤN THIẾT BỊ EASTERN VISION
EASTERN VISION EQUIPMENT CONSULTANCY .,JSC</t>
  </si>
  <si>
    <t>Số 38 Lạc Chính, Phường Trúc Bạch, Quận Ba Đình, Thành phố Hà Nội, Việt Nam</t>
  </si>
  <si>
    <t>024 3201 8147   |   0988118801     |    Website: https://evhospitality.vn/</t>
  </si>
  <si>
    <t>TT</t>
  </si>
  <si>
    <t>Số DNTT/DNHU</t>
  </si>
  <si>
    <t>Số Hóa Đơn</t>
  </si>
  <si>
    <t>Ngày Hóa Đơn</t>
  </si>
  <si>
    <t>Gói hàng hóa</t>
  </si>
  <si>
    <t>TỔNG GIÁ TRỊ (VNĐ)</t>
  </si>
  <si>
    <t>2. PHƯƠNG ÁN KINH DOANH:</t>
  </si>
  <si>
    <t>Hạng mục</t>
  </si>
  <si>
    <t>Giá trị (VNĐ)</t>
  </si>
  <si>
    <t>Thành tiền
(VNĐ)</t>
  </si>
  <si>
    <t>Ghi chú</t>
  </si>
  <si>
    <t>A/</t>
  </si>
  <si>
    <t>B/</t>
  </si>
  <si>
    <t>Thuế nhập khẩu</t>
  </si>
  <si>
    <t>C/</t>
  </si>
  <si>
    <t>2. Chi phí xử lí đầu vào</t>
  </si>
  <si>
    <t>E/</t>
  </si>
  <si>
    <t>Chi phí tài chính</t>
  </si>
  <si>
    <t>- Chi phí quản lý công ty và lãi vay</t>
  </si>
  <si>
    <t>F/</t>
  </si>
  <si>
    <t>Chi phí khác</t>
  </si>
  <si>
    <t>- Chi phí vận chuyển</t>
  </si>
  <si>
    <t>- Chi phí khách hàng</t>
  </si>
  <si>
    <t>G/</t>
  </si>
  <si>
    <t>Tổng chi phí đầu vào (A+B-C1+C2+E+F):</t>
  </si>
  <si>
    <t>Chưa bao gồm VAT</t>
  </si>
  <si>
    <t>Tổng chi phí đầu vào (đã bao gồm VAT)</t>
  </si>
  <si>
    <t>Đã bao gồm VAT</t>
  </si>
  <si>
    <t>Giá đầu ra</t>
  </si>
  <si>
    <t xml:space="preserve">Doanh thu đơn hàng </t>
  </si>
  <si>
    <t>Lợi nhuận trước thuế</t>
  </si>
  <si>
    <t xml:space="preserve">Lợi nhuận sau thuế </t>
  </si>
  <si>
    <t>Giá trị lợi nhuận</t>
  </si>
  <si>
    <t>Giá trị lợi nhuận vượt định mức</t>
  </si>
  <si>
    <t>GIÁM ĐỐC</t>
  </si>
  <si>
    <t>P. TÀI CHÍNH</t>
  </si>
  <si>
    <t>NGƯỜI LẬP PHƯƠNG ÁN</t>
  </si>
  <si>
    <t>Số PO/HĐ</t>
  </si>
  <si>
    <t>Tên Dự án/KH</t>
  </si>
  <si>
    <t>PHÍ V/CHUYỂN ĐẾN KH</t>
  </si>
  <si>
    <t>Tổng VAT
đầu vào</t>
  </si>
  <si>
    <t>Tổng tiền BÁN
chưa VAT</t>
  </si>
  <si>
    <t>Thành tiền BÁN
VNĐ</t>
  </si>
  <si>
    <t>Thành tiền MUA
VNĐ</t>
  </si>
  <si>
    <t>% doanh thu trước VAT</t>
  </si>
  <si>
    <t>TỔNG NHẬN</t>
  </si>
  <si>
    <t>1. HÀNG HÓA</t>
  </si>
  <si>
    <t>PHÍ V/CHUYỂN 
VỀ VP</t>
  </si>
  <si>
    <t>Diễn giải</t>
  </si>
  <si>
    <t>HS bán hàng</t>
  </si>
  <si>
    <t>HS theo DT tháng</t>
  </si>
  <si>
    <t>1. Thuế VAT đầu vào</t>
  </si>
  <si>
    <t>Kính gửi: BLĐ CÔNG TY CỔ PHẦN EASTERN VISION</t>
  </si>
  <si>
    <t>HS định mức
tiêu chuẩn: 0.70</t>
  </si>
  <si>
    <t>5% phần lợi nhuận vượt HS định mức tiêu chuẩn</t>
  </si>
  <si>
    <t>Tổng giá trị đầu vào</t>
  </si>
  <si>
    <t>Phí v/chuyển về VP + Phí v/c đến KH (gồm VAT)</t>
  </si>
  <si>
    <t>Đối với hàng NK: làm bảng riêng và nhập theo giá trị trên tờ khai</t>
  </si>
  <si>
    <t>Có thể thay đổi theo tình trạng thực tế</t>
  </si>
  <si>
    <t>Tổng tiền BÁN
ko VAT</t>
  </si>
  <si>
    <t>KT check lại % và điền nếu có thay đổi</t>
  </si>
  <si>
    <t>(Tổng tiền BÁN chưa VAT - (Tổng tiền MUA chưa VAT + Tổng VAT đầu vào)*chi phí thực tế từng đơn</t>
  </si>
  <si>
    <t>BÁO CÁO KẾT QUẢ KINH DOANH THÁNG {MM/yyyy}</t>
  </si>
  <si>
    <t>Nhân viên: {Users.FullName}</t>
  </si>
  <si>
    <t>Phòng Dự án xin báo cáo BLĐ kết quả kinh doanh tháng {MM} như sau:</t>
  </si>
  <si>
    <t>{CustomerName}</t>
  </si>
  <si>
    <t>{CustomerPO}</t>
  </si>
  <si>
    <t>{SalesOrderNo}</t>
  </si>
  <si>
    <t>{ProductName}</t>
  </si>
  <si>
    <t>{TaxAmount}</t>
  </si>
  <si>
    <t>{SubTotal}</t>
  </si>
  <si>
    <t>{TotalAmount}</t>
  </si>
  <si>
    <t>{PurchaseCost}</t>
  </si>
  <si>
    <t>{QuotationItems.ShippingFee}</t>
  </si>
  <si>
    <t>{QuotationItems.UnofficialW2WShipping}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</si>
</sst>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00"/>
    <numFmt numFmtId="167" formatCode="#,##0\ [$VND]\ "/>
    <numFmt numFmtId="168" formatCode="_(* #,##0.000_);_(* \(#,##0.000\);_(* &quot;-&quot;??_);_(@_)"/>
  </numFmts>
  <fonts count="31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rgb="FF47B0C5"/>
      <name val="Tw Cen MT"/>
      <family val="2"/>
    </font>
    <font>
      <i/>
      <sz val="12"/>
      <color theme="1" tint="0.249977111117893"/>
      <name val="Tw Cen MT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Times New Roman"/>
      <family val="1"/>
      <charset val="163"/>
    </font>
    <font>
      <sz val="11"/>
      <color theme="1"/>
      <name val="Calibri Light"/>
      <family val="1"/>
      <charset val="163"/>
      <scheme val="major"/>
    </font>
    <font>
      <b/>
      <i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name val="Arial"/>
      <family val="2"/>
      <charset val="163"/>
    </font>
    <font>
      <i/>
      <sz val="14"/>
      <color theme="1" tint="0.249977111117893"/>
      <name val="Tw Cen MT"/>
      <family val="2"/>
    </font>
    <font>
      <b/>
      <sz val="18"/>
      <color rgb="FF47B0C5"/>
      <name val="Tw Cen MT"/>
      <family val="2"/>
    </font>
    <font>
      <b/>
      <sz val="22"/>
      <color theme="1"/>
      <name val="Times New Roman"/>
      <family val="1"/>
    </font>
    <font>
      <sz val="14"/>
      <name val="Times New Roman"/>
      <family val="1"/>
    </font>
    <font>
      <b/>
      <sz val="14"/>
      <color rgb="FF7030A0"/>
      <name val="Times New Roman"/>
      <family val="1"/>
    </font>
    <font>
      <b/>
      <sz val="14"/>
      <color theme="1"/>
      <name val="Times New Roman"/>
      <family val="1"/>
    </font>
    <font>
      <b/>
      <i/>
      <sz val="14"/>
      <name val="Times New Roman"/>
      <family val="1"/>
    </font>
    <font>
      <b/>
      <sz val="14"/>
      <color theme="8" tint="-0.249977111117893"/>
      <name val="Times New Roman"/>
      <family val="1"/>
    </font>
    <font>
      <b/>
      <sz val="14"/>
      <color theme="4" tint="-0.249977111117893"/>
      <name val="Times New Roman"/>
      <family val="1"/>
    </font>
    <font>
      <b/>
      <sz val="12"/>
      <color theme="8" tint="-0.249977111117893"/>
      <name val="Times New Roman"/>
      <family val="1"/>
    </font>
    <font>
      <sz val="14"/>
      <color rgb="FFFF0000"/>
      <name val="Times New Roman"/>
      <family val="1"/>
    </font>
    <font>
      <b/>
      <sz val="15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color theme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4" fillId="0" borderId="0"/>
  </cellStyleXfs>
  <cellXfs count="103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3" fontId="11" fillId="0" borderId="1" xfId="1" applyNumberFormat="1" applyFont="1" applyBorder="1" applyAlignment="1">
      <alignment horizontal="right" vertical="center"/>
    </xf>
    <xf numFmtId="164" fontId="11" fillId="0" borderId="1" xfId="1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3" fillId="0" borderId="0" xfId="1" applyNumberFormat="1" applyFont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7" fillId="0" borderId="0" xfId="1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164" fontId="18" fillId="0" borderId="1" xfId="1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164" fontId="22" fillId="0" borderId="1" xfId="1" applyNumberFormat="1" applyFont="1" applyBorder="1" applyAlignment="1">
      <alignment horizontal="right" vertical="center"/>
    </xf>
    <xf numFmtId="164" fontId="10" fillId="0" borderId="1" xfId="1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vertical="center"/>
    </xf>
    <xf numFmtId="164" fontId="22" fillId="2" borderId="1" xfId="1" applyNumberFormat="1" applyFont="1" applyFill="1" applyBorder="1" applyAlignment="1">
      <alignment horizontal="right" vertical="center"/>
    </xf>
    <xf numFmtId="164" fontId="22" fillId="2" borderId="1" xfId="1" applyNumberFormat="1" applyFont="1" applyFill="1" applyBorder="1" applyAlignment="1">
      <alignment vertical="center"/>
    </xf>
    <xf numFmtId="164" fontId="22" fillId="0" borderId="1" xfId="1" applyNumberFormat="1" applyFont="1" applyBorder="1" applyAlignment="1">
      <alignment vertical="center"/>
    </xf>
    <xf numFmtId="164" fontId="10" fillId="0" borderId="1" xfId="1" applyNumberFormat="1" applyFont="1" applyBorder="1" applyAlignment="1">
      <alignment vertical="center"/>
    </xf>
    <xf numFmtId="9" fontId="18" fillId="0" borderId="1" xfId="2" applyFont="1" applyBorder="1" applyAlignment="1">
      <alignment horizontal="right" vertical="center" wrapText="1"/>
    </xf>
    <xf numFmtId="164" fontId="10" fillId="0" borderId="1" xfId="1" applyNumberFormat="1" applyFont="1" applyBorder="1" applyAlignment="1">
      <alignment horizontal="right" vertical="center"/>
    </xf>
    <xf numFmtId="164" fontId="20" fillId="0" borderId="1" xfId="1" applyNumberFormat="1" applyFont="1" applyBorder="1" applyAlignment="1">
      <alignment horizontal="right" vertical="center"/>
    </xf>
    <xf numFmtId="3" fontId="10" fillId="0" borderId="1" xfId="1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64" fontId="13" fillId="0" borderId="0" xfId="1" applyNumberFormat="1" applyFont="1" applyAlignment="1">
      <alignment vertical="center"/>
    </xf>
    <xf numFmtId="164" fontId="13" fillId="0" borderId="0" xfId="1" applyNumberFormat="1" applyFont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right" vertical="center" wrapText="1"/>
    </xf>
    <xf numFmtId="164" fontId="13" fillId="0" borderId="1" xfId="1" applyNumberFormat="1" applyFont="1" applyBorder="1" applyAlignment="1">
      <alignment vertical="center" wrapText="1"/>
    </xf>
    <xf numFmtId="164" fontId="20" fillId="0" borderId="6" xfId="1" applyNumberFormat="1" applyFont="1" applyBorder="1" applyAlignment="1">
      <alignment vertical="center" wrapText="1"/>
    </xf>
    <xf numFmtId="164" fontId="10" fillId="0" borderId="1" xfId="1" applyNumberFormat="1" applyFont="1" applyBorder="1" applyAlignment="1">
      <alignment vertical="center" wrapText="1"/>
    </xf>
    <xf numFmtId="164" fontId="18" fillId="2" borderId="1" xfId="1" applyNumberFormat="1" applyFont="1" applyFill="1" applyBorder="1" applyAlignment="1">
      <alignment horizontal="right" vertical="center" wrapText="1"/>
    </xf>
    <xf numFmtId="9" fontId="25" fillId="0" borderId="1" xfId="2" applyFont="1" applyBorder="1" applyAlignment="1">
      <alignment vertical="center" wrapText="1"/>
    </xf>
    <xf numFmtId="166" fontId="19" fillId="2" borderId="1" xfId="1" applyNumberFormat="1" applyFont="1" applyFill="1" applyBorder="1" applyAlignment="1">
      <alignment horizontal="right" vertical="center" wrapText="1"/>
    </xf>
    <xf numFmtId="168" fontId="11" fillId="2" borderId="1" xfId="1" applyNumberFormat="1" applyFont="1" applyFill="1" applyBorder="1" applyAlignment="1">
      <alignment horizontal="right" vertical="center"/>
    </xf>
    <xf numFmtId="9" fontId="25" fillId="3" borderId="1" xfId="2" applyFont="1" applyFill="1" applyBorder="1" applyAlignment="1">
      <alignment horizontal="right" vertical="center" wrapText="1"/>
    </xf>
    <xf numFmtId="164" fontId="25" fillId="2" borderId="1" xfId="1" applyNumberFormat="1" applyFont="1" applyFill="1" applyBorder="1" applyAlignment="1">
      <alignment vertical="center"/>
    </xf>
    <xf numFmtId="168" fontId="27" fillId="0" borderId="1" xfId="1" applyNumberFormat="1" applyFont="1" applyBorder="1" applyAlignment="1">
      <alignment horizontal="right" vertical="center" wrapText="1"/>
    </xf>
    <xf numFmtId="168" fontId="28" fillId="0" borderId="1" xfId="1" applyNumberFormat="1" applyFont="1" applyBorder="1" applyAlignment="1">
      <alignment horizontal="right" vertical="center" wrapText="1"/>
    </xf>
    <xf numFmtId="164" fontId="30" fillId="0" borderId="1" xfId="1" applyNumberFormat="1" applyFont="1" applyBorder="1" applyAlignment="1">
      <alignment horizontal="center" vertical="center" wrapText="1"/>
    </xf>
    <xf numFmtId="164" fontId="26" fillId="0" borderId="10" xfId="1" applyNumberFormat="1" applyFont="1" applyBorder="1" applyAlignment="1">
      <alignment horizontal="center" vertical="center"/>
    </xf>
    <xf numFmtId="164" fontId="26" fillId="0" borderId="11" xfId="1" applyNumberFormat="1" applyFont="1" applyBorder="1" applyAlignment="1">
      <alignment horizontal="center" vertical="center"/>
    </xf>
    <xf numFmtId="166" fontId="19" fillId="0" borderId="10" xfId="1" applyNumberFormat="1" applyFont="1" applyBorder="1" applyAlignment="1">
      <alignment horizontal="center" vertical="center" wrapText="1"/>
    </xf>
    <xf numFmtId="166" fontId="19" fillId="0" borderId="11" xfId="1" applyNumberFormat="1" applyFont="1" applyBorder="1" applyAlignment="1">
      <alignment horizontal="center" vertical="center" wrapText="1"/>
    </xf>
    <xf numFmtId="165" fontId="18" fillId="2" borderId="10" xfId="2" applyNumberFormat="1" applyFont="1" applyFill="1" applyBorder="1" applyAlignment="1">
      <alignment horizontal="right" vertical="center" wrapText="1"/>
    </xf>
    <xf numFmtId="165" fontId="18" fillId="2" borderId="11" xfId="2" applyNumberFormat="1" applyFont="1" applyFill="1" applyBorder="1" applyAlignment="1">
      <alignment horizontal="right" vertical="center" wrapText="1"/>
    </xf>
    <xf numFmtId="164" fontId="6" fillId="0" borderId="1" xfId="1" applyNumberFormat="1" applyFont="1" applyBorder="1" applyAlignment="1">
      <alignment horizontal="left" vertical="center" wrapText="1"/>
    </xf>
    <xf numFmtId="3" fontId="10" fillId="0" borderId="1" xfId="1" applyNumberFormat="1" applyFont="1" applyBorder="1" applyAlignment="1">
      <alignment horizontal="center" vertical="center"/>
    </xf>
    <xf numFmtId="164" fontId="22" fillId="0" borderId="1" xfId="1" applyNumberFormat="1" applyFont="1" applyBorder="1" applyAlignment="1">
      <alignment horizontal="center" vertical="center"/>
    </xf>
    <xf numFmtId="9" fontId="18" fillId="0" borderId="1" xfId="2" applyFont="1" applyBorder="1" applyAlignment="1">
      <alignment horizontal="center" vertical="center" wrapText="1"/>
    </xf>
    <xf numFmtId="164" fontId="24" fillId="0" borderId="1" xfId="1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20" fillId="0" borderId="1" xfId="1" applyNumberFormat="1" applyFont="1" applyBorder="1" applyAlignment="1">
      <alignment horizontal="center" vertical="center" wrapText="1"/>
    </xf>
    <xf numFmtId="164" fontId="20" fillId="0" borderId="1" xfId="1" applyNumberFormat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 wrapText="1"/>
    </xf>
    <xf numFmtId="0" fontId="13" fillId="0" borderId="5" xfId="0" applyFont="1" applyBorder="1" applyAlignment="1">
      <alignment horizontal="right" vertical="center" wrapText="1"/>
    </xf>
    <xf numFmtId="0" fontId="13" fillId="0" borderId="12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right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9" xfId="0" applyFont="1" applyBorder="1" applyAlignment="1">
      <alignment horizontal="right" vertical="center" wrapText="1"/>
    </xf>
    <xf numFmtId="9" fontId="29" fillId="2" borderId="10" xfId="2" applyFont="1" applyFill="1" applyBorder="1" applyAlignment="1">
      <alignment horizontal="right" vertical="center" wrapText="1"/>
    </xf>
    <xf numFmtId="9" fontId="29" fillId="2" borderId="11" xfId="2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164" fontId="10" fillId="0" borderId="4" xfId="1" applyNumberFormat="1" applyFont="1" applyBorder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 wrapText="1"/>
    </xf>
    <xf numFmtId="164" fontId="13" fillId="0" borderId="0" xfId="1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4" xfId="3" xr:uid="{00000000-0005-0000-0000-000002000000}"/>
    <cellStyle name="Percent" xfId="2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159315</xdr:rowOff>
    </xdr:to>
    <xdr:sp macro="" textlink="">
      <xdr:nvSpPr>
        <xdr:cNvPr id="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568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159315</xdr:rowOff>
    </xdr:to>
    <xdr:sp macro="" textlink="">
      <xdr:nvSpPr>
        <xdr:cNvPr id="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568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159315</xdr:rowOff>
    </xdr:to>
    <xdr:sp macro="" textlink="">
      <xdr:nvSpPr>
        <xdr:cNvPr id="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568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1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1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1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1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304800</xdr:rowOff>
    </xdr:to>
    <xdr:sp macro="" textlink="">
      <xdr:nvSpPr>
        <xdr:cNvPr id="1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2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2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3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84172</xdr:rowOff>
    </xdr:to>
    <xdr:sp macro="" textlink="">
      <xdr:nvSpPr>
        <xdr:cNvPr id="4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9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4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4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4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4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5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5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5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5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5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84172</xdr:rowOff>
    </xdr:to>
    <xdr:sp macro="" textlink="">
      <xdr:nvSpPr>
        <xdr:cNvPr id="5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9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84172</xdr:rowOff>
    </xdr:to>
    <xdr:sp macro="" textlink="">
      <xdr:nvSpPr>
        <xdr:cNvPr id="6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9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6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7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7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7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7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7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7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7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7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8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8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8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8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8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8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8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8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9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9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9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9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9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9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10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0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0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84172</xdr:rowOff>
    </xdr:to>
    <xdr:sp macro="" textlink="">
      <xdr:nvSpPr>
        <xdr:cNvPr id="10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9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70725</xdr:rowOff>
    </xdr:to>
    <xdr:sp macro="" textlink="">
      <xdr:nvSpPr>
        <xdr:cNvPr id="10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80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84172</xdr:rowOff>
    </xdr:to>
    <xdr:sp macro="" textlink="">
      <xdr:nvSpPr>
        <xdr:cNvPr id="10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9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84172</xdr:rowOff>
    </xdr:to>
    <xdr:sp macro="" textlink="">
      <xdr:nvSpPr>
        <xdr:cNvPr id="10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9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0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0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1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1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1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1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1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11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1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2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2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2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2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12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3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3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3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3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3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3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3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4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4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4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5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5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15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5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5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15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5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6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6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16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6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16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6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1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7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7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7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7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7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7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7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8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8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8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18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8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8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18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8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1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19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9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9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9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9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19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9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1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0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20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0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0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0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29968</xdr:rowOff>
    </xdr:to>
    <xdr:sp macro="" textlink="">
      <xdr:nvSpPr>
        <xdr:cNvPr id="20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3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0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0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0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1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1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21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1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1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1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21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1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1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22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2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2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22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2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2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2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23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3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3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23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3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3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3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23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4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4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4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24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4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4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4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24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4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5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5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25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5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5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25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5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5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6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6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26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6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6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26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6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29968</xdr:rowOff>
    </xdr:to>
    <xdr:sp macro="" textlink="">
      <xdr:nvSpPr>
        <xdr:cNvPr id="27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3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7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7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29968</xdr:rowOff>
    </xdr:to>
    <xdr:sp macro="" textlink="">
      <xdr:nvSpPr>
        <xdr:cNvPr id="27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3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7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7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7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28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8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29968</xdr:rowOff>
    </xdr:to>
    <xdr:sp macro="" textlink="">
      <xdr:nvSpPr>
        <xdr:cNvPr id="28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3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8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28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8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8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29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9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2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9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29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9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29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29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29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0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0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0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0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30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0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0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1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1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1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1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1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1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1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1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2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3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3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33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3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3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33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3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34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34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3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34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35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35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35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3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3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35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35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35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35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35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29968</xdr:rowOff>
    </xdr:to>
    <xdr:sp macro="" textlink="">
      <xdr:nvSpPr>
        <xdr:cNvPr id="36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3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36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3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3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29968</xdr:rowOff>
    </xdr:to>
    <xdr:sp macro="" textlink="">
      <xdr:nvSpPr>
        <xdr:cNvPr id="36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3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3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33890</xdr:rowOff>
    </xdr:to>
    <xdr:sp macro="" textlink="">
      <xdr:nvSpPr>
        <xdr:cNvPr id="3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443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6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6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7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7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7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8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8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8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9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196102</xdr:rowOff>
    </xdr:to>
    <xdr:sp macro="" textlink="">
      <xdr:nvSpPr>
        <xdr:cNvPr id="39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9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200024</xdr:rowOff>
    </xdr:to>
    <xdr:sp macro="" textlink="">
      <xdr:nvSpPr>
        <xdr:cNvPr id="39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9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39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9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3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0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40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0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281827</xdr:rowOff>
    </xdr:to>
    <xdr:sp macro="" textlink="">
      <xdr:nvSpPr>
        <xdr:cNvPr id="40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0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295274</xdr:rowOff>
    </xdr:to>
    <xdr:sp macro="" textlink="">
      <xdr:nvSpPr>
        <xdr:cNvPr id="40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0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41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41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395738</xdr:rowOff>
    </xdr:to>
    <xdr:sp macro="" textlink="">
      <xdr:nvSpPr>
        <xdr:cNvPr id="42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2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399660</xdr:rowOff>
    </xdr:to>
    <xdr:sp macro="" textlink="">
      <xdr:nvSpPr>
        <xdr:cNvPr id="42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2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42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2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2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2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43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3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3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291352</xdr:rowOff>
    </xdr:to>
    <xdr:sp macro="" textlink="">
      <xdr:nvSpPr>
        <xdr:cNvPr id="43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3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12</xdr:row>
      <xdr:rowOff>304799</xdr:rowOff>
    </xdr:to>
    <xdr:sp macro="" textlink="">
      <xdr:nvSpPr>
        <xdr:cNvPr id="4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>
        <a:xfrm>
          <a:off x="8677275" y="831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4</xdr:col>
      <xdr:colOff>818346</xdr:colOff>
      <xdr:row>3</xdr:row>
      <xdr:rowOff>372071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460106" cy="1458726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3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4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76033"/>
    <xdr:sp macro="" textlink="">
      <xdr:nvSpPr>
        <xdr:cNvPr id="44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76033"/>
    <xdr:sp macro="" textlink="">
      <xdr:nvSpPr>
        <xdr:cNvPr id="4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76033"/>
    <xdr:sp macro="" textlink="">
      <xdr:nvSpPr>
        <xdr:cNvPr id="4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4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4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4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4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5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45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45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5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5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5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45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5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6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6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46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6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6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46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46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46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4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7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7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47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7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00890"/>
    <xdr:sp macro="" textlink="">
      <xdr:nvSpPr>
        <xdr:cNvPr id="47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7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7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48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8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8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8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4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48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48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48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48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4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49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49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49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9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9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00890"/>
    <xdr:sp macro="" textlink="">
      <xdr:nvSpPr>
        <xdr:cNvPr id="49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00890"/>
    <xdr:sp macro="" textlink="">
      <xdr:nvSpPr>
        <xdr:cNvPr id="4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9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4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0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0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1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1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1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1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51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1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2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2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5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2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2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52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3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53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3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3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3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53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3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3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00890"/>
    <xdr:sp macro="" textlink="">
      <xdr:nvSpPr>
        <xdr:cNvPr id="5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87443"/>
    <xdr:sp macro="" textlink="">
      <xdr:nvSpPr>
        <xdr:cNvPr id="54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87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00890"/>
    <xdr:sp macro="" textlink="">
      <xdr:nvSpPr>
        <xdr:cNvPr id="54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500890"/>
    <xdr:sp macro="" textlink="">
      <xdr:nvSpPr>
        <xdr:cNvPr id="5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4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4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4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4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4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4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4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55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5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55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5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5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5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5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6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6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56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6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6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7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7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7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7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7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7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7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7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8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8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8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8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58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8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58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59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9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59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59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9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5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9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5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59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0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0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60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0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0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0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0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1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1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1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1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1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1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61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2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62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2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2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2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2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2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2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3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3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3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3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3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3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63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3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64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6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46686"/>
    <xdr:sp macro="" textlink="">
      <xdr:nvSpPr>
        <xdr:cNvPr id="64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6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6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4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4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4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64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4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5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65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5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5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5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5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5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5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6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6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66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6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6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6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6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6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7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7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7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67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7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6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7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68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8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8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68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8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6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8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8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68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9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9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9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69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9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6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9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9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69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69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0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70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0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0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0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46686"/>
    <xdr:sp macro="" textlink="">
      <xdr:nvSpPr>
        <xdr:cNvPr id="70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0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46686"/>
    <xdr:sp macro="" textlink="">
      <xdr:nvSpPr>
        <xdr:cNvPr id="71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1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1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71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1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2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46686"/>
    <xdr:sp macro="" textlink="">
      <xdr:nvSpPr>
        <xdr:cNvPr id="72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2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2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72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2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2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73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3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3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3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73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3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4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74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4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4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4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74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4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4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75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75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5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76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6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76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7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76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7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7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77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7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77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7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77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7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8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78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8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7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8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78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8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79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9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7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9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46686"/>
    <xdr:sp macro="" textlink="">
      <xdr:nvSpPr>
        <xdr:cNvPr id="79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9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7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46686"/>
    <xdr:sp macro="" textlink="">
      <xdr:nvSpPr>
        <xdr:cNvPr id="80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80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450608"/>
    <xdr:sp macro="" textlink="">
      <xdr:nvSpPr>
        <xdr:cNvPr id="80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0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80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0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0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81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1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8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1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1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81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8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196102"/>
    <xdr:sp macro="" textlink="">
      <xdr:nvSpPr>
        <xdr:cNvPr id="82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00024"/>
    <xdr:sp macro="" textlink="">
      <xdr:nvSpPr>
        <xdr:cNvPr id="8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3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3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83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3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3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3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3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83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3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4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81827"/>
    <xdr:sp macro="" textlink="">
      <xdr:nvSpPr>
        <xdr:cNvPr id="84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5274"/>
    <xdr:sp macro="" textlink="">
      <xdr:nvSpPr>
        <xdr:cNvPr id="8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4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4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84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4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4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5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85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5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5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5738"/>
    <xdr:sp macro="" textlink="">
      <xdr:nvSpPr>
        <xdr:cNvPr id="85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5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99660"/>
    <xdr:sp macro="" textlink="">
      <xdr:nvSpPr>
        <xdr:cNvPr id="8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5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86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86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291352"/>
    <xdr:sp macro="" textlink="">
      <xdr:nvSpPr>
        <xdr:cNvPr id="87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8</xdr:col>
      <xdr:colOff>0</xdr:colOff>
      <xdr:row>12</xdr:row>
      <xdr:rowOff>0</xdr:rowOff>
    </xdr:from>
    <xdr:ext cx="304800" cy="304799"/>
    <xdr:sp macro="" textlink="">
      <xdr:nvSpPr>
        <xdr:cNvPr id="87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7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7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76033"/>
    <xdr:sp macro="" textlink="">
      <xdr:nvSpPr>
        <xdr:cNvPr id="87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76033"/>
    <xdr:sp macro="" textlink="">
      <xdr:nvSpPr>
        <xdr:cNvPr id="8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76033"/>
    <xdr:sp macro="" textlink="">
      <xdr:nvSpPr>
        <xdr:cNvPr id="87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7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800"/>
    <xdr:sp macro="" textlink="">
      <xdr:nvSpPr>
        <xdr:cNvPr id="88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88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88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8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89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89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8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89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8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8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89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89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8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0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0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90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0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0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0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90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00890"/>
    <xdr:sp macro="" textlink="">
      <xdr:nvSpPr>
        <xdr:cNvPr id="91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1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1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91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1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1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1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2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92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92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2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2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2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00890"/>
    <xdr:sp macro="" textlink="">
      <xdr:nvSpPr>
        <xdr:cNvPr id="93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00890"/>
    <xdr:sp macro="" textlink="">
      <xdr:nvSpPr>
        <xdr:cNvPr id="93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3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3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93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3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3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3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4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94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4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4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94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4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4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94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5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95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5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5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5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5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95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6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6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96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6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96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6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97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7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7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00890"/>
    <xdr:sp macro="" textlink="">
      <xdr:nvSpPr>
        <xdr:cNvPr id="9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87443"/>
    <xdr:sp macro="" textlink="">
      <xdr:nvSpPr>
        <xdr:cNvPr id="97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87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00890"/>
    <xdr:sp macro="" textlink="">
      <xdr:nvSpPr>
        <xdr:cNvPr id="97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500890"/>
    <xdr:sp macro="" textlink="">
      <xdr:nvSpPr>
        <xdr:cNvPr id="9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7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97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8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8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8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8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98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8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98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8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98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9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99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9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9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9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99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9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99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9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99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0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0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0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0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0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0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0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1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1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2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2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02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2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2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02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3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3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3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03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3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3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03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3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4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4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4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4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4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5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5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05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5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5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05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5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6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6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6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6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6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6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6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7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07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7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07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07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46686"/>
    <xdr:sp macro="" textlink="">
      <xdr:nvSpPr>
        <xdr:cNvPr id="107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07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0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8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8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8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08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8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08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08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8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0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9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9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9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09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9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0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09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9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0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0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0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1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1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1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1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11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1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1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11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1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2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2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12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3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3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13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3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3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13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3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46686"/>
    <xdr:sp macro="" textlink="">
      <xdr:nvSpPr>
        <xdr:cNvPr id="114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46686"/>
    <xdr:sp macro="" textlink="">
      <xdr:nvSpPr>
        <xdr:cNvPr id="114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4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5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15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5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5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46686"/>
    <xdr:sp macro="" textlink="">
      <xdr:nvSpPr>
        <xdr:cNvPr id="115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5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1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5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6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6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16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6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16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16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1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6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7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7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7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7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7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17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7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17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7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8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8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9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9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9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9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9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9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9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9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1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19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0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0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0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20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0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0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20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0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1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21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1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1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21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1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22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2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2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22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2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2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2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2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46686"/>
    <xdr:sp macro="" textlink="">
      <xdr:nvSpPr>
        <xdr:cNvPr id="123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23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2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23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46686"/>
    <xdr:sp macro="" textlink="">
      <xdr:nvSpPr>
        <xdr:cNvPr id="123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23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450608"/>
    <xdr:sp macro="" textlink="">
      <xdr:nvSpPr>
        <xdr:cNvPr id="123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3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24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4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24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4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4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24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25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25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6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6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196102"/>
    <xdr:sp macro="" textlink="">
      <xdr:nvSpPr>
        <xdr:cNvPr id="126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6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00024"/>
    <xdr:sp macro="" textlink="">
      <xdr:nvSpPr>
        <xdr:cNvPr id="12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6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6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26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6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27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81827"/>
    <xdr:sp macro="" textlink="">
      <xdr:nvSpPr>
        <xdr:cNvPr id="127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5274"/>
    <xdr:sp macro="" textlink="">
      <xdr:nvSpPr>
        <xdr:cNvPr id="12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28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28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5738"/>
    <xdr:sp macro="" textlink="">
      <xdr:nvSpPr>
        <xdr:cNvPr id="129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9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99660"/>
    <xdr:sp macro="" textlink="">
      <xdr:nvSpPr>
        <xdr:cNvPr id="12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9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29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9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29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30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30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30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30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3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291352"/>
    <xdr:sp macro="" textlink="">
      <xdr:nvSpPr>
        <xdr:cNvPr id="130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30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304800" cy="304799"/>
    <xdr:sp macro="" textlink="">
      <xdr:nvSpPr>
        <xdr:cNvPr id="13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0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1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76033"/>
    <xdr:sp macro="" textlink="">
      <xdr:nvSpPr>
        <xdr:cNvPr id="131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76033"/>
    <xdr:sp macro="" textlink="">
      <xdr:nvSpPr>
        <xdr:cNvPr id="13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76033"/>
    <xdr:sp macro="" textlink="">
      <xdr:nvSpPr>
        <xdr:cNvPr id="131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76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1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1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1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1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2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800"/>
    <xdr:sp macro="" textlink="">
      <xdr:nvSpPr>
        <xdr:cNvPr id="13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2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2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2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32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2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3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33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3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3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3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3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33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3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4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4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4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34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00890"/>
    <xdr:sp macro="" textlink="">
      <xdr:nvSpPr>
        <xdr:cNvPr id="134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4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4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4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35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5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5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5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35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5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35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36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36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3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6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6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00890"/>
    <xdr:sp macro="" textlink="">
      <xdr:nvSpPr>
        <xdr:cNvPr id="13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00890"/>
    <xdr:sp macro="" textlink="">
      <xdr:nvSpPr>
        <xdr:cNvPr id="13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37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37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38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8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8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38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8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3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8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38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8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3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39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9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39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9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3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39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39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39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0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40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0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0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40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0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0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00890"/>
    <xdr:sp macro="" textlink="">
      <xdr:nvSpPr>
        <xdr:cNvPr id="14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87443"/>
    <xdr:sp macro="" textlink="">
      <xdr:nvSpPr>
        <xdr:cNvPr id="141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87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00890"/>
    <xdr:sp macro="" textlink="">
      <xdr:nvSpPr>
        <xdr:cNvPr id="141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500890"/>
    <xdr:sp macro="" textlink="">
      <xdr:nvSpPr>
        <xdr:cNvPr id="141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500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1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1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1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42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2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2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42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2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2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2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2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2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3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3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3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43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3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3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3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4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4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4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4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4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4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4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4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4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5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5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5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5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5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5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5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46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6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46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6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6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46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7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7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47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7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47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7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7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7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8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8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8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8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8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8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8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48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9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9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9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49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9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49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49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9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49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49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0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0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0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50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0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0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50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0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1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1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46686"/>
    <xdr:sp macro="" textlink="">
      <xdr:nvSpPr>
        <xdr:cNvPr id="151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1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1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1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1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1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51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1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2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52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2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2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2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52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2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3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53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3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3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3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53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3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4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54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4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4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4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54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4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54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4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4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55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5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5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5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55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5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5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5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5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55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6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6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6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56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6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6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6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56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6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7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7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57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7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7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7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46686"/>
    <xdr:sp macro="" textlink="">
      <xdr:nvSpPr>
        <xdr:cNvPr id="157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7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8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46686"/>
    <xdr:sp macro="" textlink="">
      <xdr:nvSpPr>
        <xdr:cNvPr id="158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8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8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8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58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8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8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9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46686"/>
    <xdr:sp macro="" textlink="">
      <xdr:nvSpPr>
        <xdr:cNvPr id="159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9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5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59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9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59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9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59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0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60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0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0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0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0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0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0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0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0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61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1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1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1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1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1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1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1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1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2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2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2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3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3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3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3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3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3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3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3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63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4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4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64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4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64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64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64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64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64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65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65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65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65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65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5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5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65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5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5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6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66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6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66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66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66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46686"/>
    <xdr:sp macro="" textlink="">
      <xdr:nvSpPr>
        <xdr:cNvPr id="166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66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66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66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46686"/>
    <xdr:sp macro="" textlink="">
      <xdr:nvSpPr>
        <xdr:cNvPr id="167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4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67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450608"/>
    <xdr:sp macro="" textlink="">
      <xdr:nvSpPr>
        <xdr:cNvPr id="167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450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7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7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7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7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7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7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7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8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8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8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8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8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8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8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8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8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8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94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5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196102"/>
    <xdr:sp macro="" textlink="">
      <xdr:nvSpPr>
        <xdr:cNvPr id="169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19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69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00024"/>
    <xdr:sp macro="" textlink="">
      <xdr:nvSpPr>
        <xdr:cNvPr id="170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0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0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0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703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0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0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06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07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708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09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1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1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81827"/>
    <xdr:sp macro="" textlink="">
      <xdr:nvSpPr>
        <xdr:cNvPr id="171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8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1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5274"/>
    <xdr:sp macro="" textlink="">
      <xdr:nvSpPr>
        <xdr:cNvPr id="171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15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16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717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18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1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20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21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722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23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24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2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5738"/>
    <xdr:sp macro="" textlink="">
      <xdr:nvSpPr>
        <xdr:cNvPr id="172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2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99660"/>
    <xdr:sp macro="" textlink="">
      <xdr:nvSpPr>
        <xdr:cNvPr id="172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9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29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0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731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2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3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4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5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736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7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8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39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291352"/>
    <xdr:sp macro="" textlink="">
      <xdr:nvSpPr>
        <xdr:cNvPr id="1740" name="AutoShape 4" descr="Kết quả hình ảnh cho test nước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29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304800" cy="304799"/>
    <xdr:sp macro="" textlink="">
      <xdr:nvSpPr>
        <xdr:cNvPr id="1741" name="AutoShape 6" descr="Kết quả hình ảnh cho khóa vuông Drawer 138 22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>
        <a:xfrm>
          <a:off x="9078516" y="485179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7</xdr:col>
      <xdr:colOff>1041797</xdr:colOff>
      <xdr:row>43</xdr:row>
      <xdr:rowOff>44648</xdr:rowOff>
    </xdr:from>
    <xdr:ext cx="304800" cy="304799"/>
    <xdr:sp macro="" textlink="">
      <xdr:nvSpPr>
        <xdr:cNvPr id="1742" name="AutoShape 6" descr="Kết quả hình ảnh cho điện trở xông khô 2kw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>
        <a:xfrm>
          <a:off x="10120313" y="14689336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9"/>
  <sheetViews>
    <sheetView tabSelected="1" topLeftCell="A19" zoomScale="71" zoomScaleNormal="71" workbookViewId="0">
      <selection activeCell="M37" sqref="M37"/>
    </sheetView>
  </sheetViews>
  <sheetFormatPr defaultColWidth="9.140625" defaultRowHeight="15" x14ac:dyDescent="0.25"/>
  <cols>
    <col min="1" max="1" width="7" style="10" customWidth="1"/>
    <col min="2" max="2" width="19.42578125" style="10" customWidth="1"/>
    <col min="3" max="3" width="23.7109375" style="10" customWidth="1"/>
    <col min="4" max="4" width="19.28515625" customWidth="1"/>
    <col min="5" max="6" width="18.140625" customWidth="1"/>
    <col min="7" max="7" width="38.28515625" style="11" customWidth="1"/>
    <col min="8" max="11" width="22.7109375" style="12" customWidth="1"/>
    <col min="12" max="12" width="19.42578125" style="12" customWidth="1"/>
    <col min="13" max="13" width="21.85546875" style="13" customWidth="1"/>
    <col min="14" max="14" width="21.85546875" customWidth="1"/>
    <col min="15" max="15" width="12.5703125" customWidth="1"/>
  </cols>
  <sheetData>
    <row r="1" spans="1:15" ht="36" customHeight="1" x14ac:dyDescent="0.25">
      <c r="A1" s="19"/>
      <c r="B1" s="19"/>
      <c r="C1" s="19"/>
      <c r="D1" s="19"/>
      <c r="E1" s="19"/>
      <c r="F1" s="78" t="s">
        <v>0</v>
      </c>
      <c r="G1" s="78"/>
      <c r="H1" s="78"/>
      <c r="I1" s="78"/>
      <c r="J1" s="78"/>
      <c r="K1" s="78"/>
      <c r="L1" s="78"/>
      <c r="M1" s="78"/>
      <c r="N1" s="78"/>
      <c r="O1" s="14"/>
    </row>
    <row r="2" spans="1:15" ht="18.75" customHeight="1" x14ac:dyDescent="0.25">
      <c r="A2" s="19"/>
      <c r="B2" s="19"/>
      <c r="C2" s="19"/>
      <c r="D2" s="19"/>
      <c r="E2" s="19"/>
      <c r="F2" s="78"/>
      <c r="G2" s="78"/>
      <c r="H2" s="78"/>
      <c r="I2" s="78"/>
      <c r="J2" s="78"/>
      <c r="K2" s="78"/>
      <c r="L2" s="78"/>
      <c r="M2" s="78"/>
      <c r="N2" s="78"/>
      <c r="O2" s="15"/>
    </row>
    <row r="3" spans="1:15" ht="30.75" customHeight="1" x14ac:dyDescent="0.25">
      <c r="A3" s="1"/>
      <c r="B3" s="1"/>
      <c r="C3" s="1"/>
      <c r="D3" s="2"/>
      <c r="E3" s="2"/>
      <c r="F3" s="68" t="s">
        <v>1</v>
      </c>
      <c r="G3" s="68"/>
      <c r="H3" s="68"/>
      <c r="I3" s="68"/>
      <c r="J3" s="68"/>
      <c r="K3" s="68"/>
      <c r="L3" s="68"/>
      <c r="M3" s="68"/>
      <c r="N3" s="68"/>
    </row>
    <row r="4" spans="1:15" ht="30.75" customHeight="1" x14ac:dyDescent="0.25">
      <c r="A4" s="1"/>
      <c r="B4" s="1"/>
      <c r="C4" s="1"/>
      <c r="D4" s="2"/>
      <c r="E4" s="2"/>
      <c r="F4" s="68" t="s">
        <v>2</v>
      </c>
      <c r="G4" s="68"/>
      <c r="H4" s="68"/>
      <c r="I4" s="68"/>
      <c r="J4" s="68"/>
      <c r="K4" s="68"/>
      <c r="L4" s="68"/>
      <c r="M4" s="68"/>
      <c r="N4" s="68"/>
    </row>
    <row r="5" spans="1:15" ht="25.5" customHeight="1" x14ac:dyDescent="0.25">
      <c r="A5" s="69" t="s">
        <v>65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1:15" ht="25.5" customHeight="1" x14ac:dyDescent="0.25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</row>
    <row r="7" spans="1:15" ht="34.5" customHeight="1" x14ac:dyDescent="0.25">
      <c r="A7" s="70" t="s">
        <v>55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</row>
    <row r="8" spans="1:15" ht="34.5" customHeight="1" x14ac:dyDescent="0.25">
      <c r="A8" s="71" t="s">
        <v>66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1:15" ht="34.5" customHeight="1" x14ac:dyDescent="0.25">
      <c r="A9" s="71" t="s">
        <v>67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</row>
    <row r="10" spans="1:15" ht="42" customHeight="1" x14ac:dyDescent="0.25">
      <c r="A10" s="79" t="s">
        <v>49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5" s="4" customFormat="1" ht="55.5" customHeight="1" x14ac:dyDescent="0.25">
      <c r="A11" s="20" t="s">
        <v>3</v>
      </c>
      <c r="B11" s="20" t="s">
        <v>41</v>
      </c>
      <c r="C11" s="20" t="s">
        <v>40</v>
      </c>
      <c r="D11" s="20" t="s">
        <v>4</v>
      </c>
      <c r="E11" s="20" t="s">
        <v>5</v>
      </c>
      <c r="F11" s="20" t="s">
        <v>6</v>
      </c>
      <c r="G11" s="21" t="s">
        <v>7</v>
      </c>
      <c r="H11" s="21" t="s">
        <v>45</v>
      </c>
      <c r="I11" s="21" t="s">
        <v>46</v>
      </c>
      <c r="J11" s="21" t="s">
        <v>44</v>
      </c>
      <c r="K11" s="54" t="s">
        <v>62</v>
      </c>
      <c r="L11" s="21" t="s">
        <v>43</v>
      </c>
      <c r="M11" s="21" t="s">
        <v>50</v>
      </c>
      <c r="N11" s="21" t="s">
        <v>42</v>
      </c>
      <c r="O11" s="16"/>
    </row>
    <row r="12" spans="1:15" s="5" customFormat="1" ht="51" customHeight="1" x14ac:dyDescent="0.25">
      <c r="A12" s="20">
        <v>1</v>
      </c>
      <c r="B12" s="20" t="s">
        <v>68</v>
      </c>
      <c r="C12" s="20" t="s">
        <v>69</v>
      </c>
      <c r="D12" s="22" t="s">
        <v>70</v>
      </c>
      <c r="E12" s="41"/>
      <c r="F12" s="22"/>
      <c r="G12" s="23" t="s">
        <v>71</v>
      </c>
      <c r="H12" s="42" t="s">
        <v>74</v>
      </c>
      <c r="I12" s="42" t="s">
        <v>75</v>
      </c>
      <c r="J12" s="42" t="s">
        <v>73</v>
      </c>
      <c r="K12" s="42"/>
      <c r="L12" s="42" t="s">
        <v>72</v>
      </c>
      <c r="M12" s="24" t="s">
        <v>77</v>
      </c>
      <c r="N12" s="43" t="s">
        <v>76</v>
      </c>
      <c r="O12" s="17"/>
    </row>
    <row r="13" spans="1:15" s="5" customFormat="1" ht="32.25" customHeight="1" x14ac:dyDescent="0.25">
      <c r="A13" s="83" t="s">
        <v>8</v>
      </c>
      <c r="B13" s="84"/>
      <c r="C13" s="84"/>
      <c r="D13" s="84"/>
      <c r="E13" s="84"/>
      <c r="F13" s="84"/>
      <c r="G13" s="85"/>
      <c r="H13" s="44">
        <f t="shared" ref="H13:N13" si="0">SUM(H12:H12)</f>
        <v>0</v>
      </c>
      <c r="I13" s="44">
        <f t="shared" si="0"/>
        <v>0</v>
      </c>
      <c r="J13" s="44">
        <f t="shared" si="0"/>
        <v>0</v>
      </c>
      <c r="K13" s="44">
        <f t="shared" si="0"/>
        <v>0</v>
      </c>
      <c r="L13" s="44">
        <f t="shared" si="0"/>
        <v>0</v>
      </c>
      <c r="M13" s="44">
        <f t="shared" si="0"/>
        <v>0</v>
      </c>
      <c r="N13" s="44">
        <f t="shared" si="0"/>
        <v>0</v>
      </c>
    </row>
    <row r="14" spans="1:15" ht="49.5" customHeight="1" x14ac:dyDescent="0.25">
      <c r="A14" s="80" t="s">
        <v>9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</row>
    <row r="15" spans="1:15" ht="27" customHeight="1" x14ac:dyDescent="0.25">
      <c r="A15" s="72" t="s">
        <v>3</v>
      </c>
      <c r="B15" s="72" t="s">
        <v>10</v>
      </c>
      <c r="C15" s="72"/>
      <c r="D15" s="72"/>
      <c r="E15" s="72"/>
      <c r="F15" s="72"/>
      <c r="G15" s="75" t="s">
        <v>11</v>
      </c>
      <c r="H15" s="75"/>
      <c r="I15" s="73" t="s">
        <v>12</v>
      </c>
      <c r="J15" s="73" t="s">
        <v>51</v>
      </c>
      <c r="K15" s="73"/>
      <c r="L15" s="73"/>
      <c r="M15" s="67" t="s">
        <v>13</v>
      </c>
      <c r="N15" s="67"/>
    </row>
    <row r="16" spans="1:15" ht="27" customHeight="1" x14ac:dyDescent="0.25">
      <c r="A16" s="72"/>
      <c r="B16" s="72"/>
      <c r="C16" s="72"/>
      <c r="D16" s="72"/>
      <c r="E16" s="72"/>
      <c r="F16" s="72"/>
      <c r="G16" s="75"/>
      <c r="H16" s="75"/>
      <c r="I16" s="74"/>
      <c r="J16" s="73"/>
      <c r="K16" s="73"/>
      <c r="L16" s="73"/>
      <c r="M16" s="67"/>
      <c r="N16" s="67"/>
    </row>
    <row r="17" spans="1:14" s="3" customFormat="1" ht="42" customHeight="1" x14ac:dyDescent="0.25">
      <c r="A17" s="25" t="s">
        <v>14</v>
      </c>
      <c r="B17" s="82" t="s">
        <v>58</v>
      </c>
      <c r="C17" s="82"/>
      <c r="D17" s="82"/>
      <c r="E17" s="82"/>
      <c r="F17" s="82"/>
      <c r="G17" s="75">
        <f>I13</f>
        <v>0</v>
      </c>
      <c r="H17" s="75"/>
      <c r="I17" s="26">
        <f>G17</f>
        <v>0</v>
      </c>
      <c r="J17" s="31"/>
      <c r="K17" s="63"/>
      <c r="L17" s="63"/>
      <c r="M17" s="87" t="s">
        <v>60</v>
      </c>
      <c r="N17" s="88"/>
    </row>
    <row r="18" spans="1:14" s="3" customFormat="1" ht="42" customHeight="1" x14ac:dyDescent="0.25">
      <c r="A18" s="25" t="s">
        <v>15</v>
      </c>
      <c r="B18" s="82" t="s">
        <v>16</v>
      </c>
      <c r="C18" s="82"/>
      <c r="D18" s="82"/>
      <c r="E18" s="82"/>
      <c r="F18" s="82"/>
      <c r="G18" s="75">
        <v>0</v>
      </c>
      <c r="H18" s="75"/>
      <c r="I18" s="26">
        <v>0</v>
      </c>
      <c r="J18" s="31"/>
      <c r="K18" s="63"/>
      <c r="L18" s="63"/>
      <c r="M18" s="89"/>
      <c r="N18" s="90"/>
    </row>
    <row r="19" spans="1:14" s="3" customFormat="1" ht="42" customHeight="1" x14ac:dyDescent="0.25">
      <c r="A19" s="76" t="s">
        <v>17</v>
      </c>
      <c r="B19" s="102" t="s">
        <v>54</v>
      </c>
      <c r="C19" s="102"/>
      <c r="D19" s="102"/>
      <c r="E19" s="102"/>
      <c r="F19" s="102"/>
      <c r="G19" s="77"/>
      <c r="H19" s="77"/>
      <c r="I19" s="29">
        <f>L13</f>
        <v>0</v>
      </c>
      <c r="J19" s="30"/>
      <c r="K19" s="63"/>
      <c r="L19" s="63"/>
      <c r="M19" s="91"/>
      <c r="N19" s="92"/>
    </row>
    <row r="20" spans="1:14" s="3" customFormat="1" ht="68.25" customHeight="1" x14ac:dyDescent="0.25">
      <c r="A20" s="76"/>
      <c r="B20" s="102" t="s">
        <v>18</v>
      </c>
      <c r="C20" s="102"/>
      <c r="D20" s="102"/>
      <c r="E20" s="102"/>
      <c r="F20" s="102"/>
      <c r="G20" s="100">
        <f>K13</f>
        <v>0</v>
      </c>
      <c r="H20" s="101"/>
      <c r="I20" s="30">
        <f>G20*J20</f>
        <v>0</v>
      </c>
      <c r="J20" s="50">
        <v>0.17</v>
      </c>
      <c r="K20" s="65" t="s">
        <v>64</v>
      </c>
      <c r="L20" s="65"/>
      <c r="M20" s="59" t="s">
        <v>63</v>
      </c>
      <c r="N20" s="60"/>
    </row>
    <row r="21" spans="1:14" s="3" customFormat="1" ht="42" customHeight="1" x14ac:dyDescent="0.25">
      <c r="A21" s="76" t="s">
        <v>19</v>
      </c>
      <c r="B21" s="82" t="s">
        <v>20</v>
      </c>
      <c r="C21" s="82"/>
      <c r="D21" s="82"/>
      <c r="E21" s="82"/>
      <c r="F21" s="82"/>
      <c r="G21" s="75"/>
      <c r="H21" s="75"/>
      <c r="I21" s="31">
        <f>SUM(I22:I22)</f>
        <v>0</v>
      </c>
      <c r="J21" s="51"/>
      <c r="K21" s="63"/>
      <c r="L21" s="63"/>
      <c r="M21" s="46"/>
      <c r="N21" s="28"/>
    </row>
    <row r="22" spans="1:14" s="3" customFormat="1" ht="33" customHeight="1" x14ac:dyDescent="0.25">
      <c r="A22" s="76"/>
      <c r="B22" s="86" t="s">
        <v>21</v>
      </c>
      <c r="C22" s="86"/>
      <c r="D22" s="86"/>
      <c r="E22" s="86"/>
      <c r="F22" s="86"/>
      <c r="G22" s="75">
        <f>H13</f>
        <v>0</v>
      </c>
      <c r="H22" s="75"/>
      <c r="I22" s="32">
        <f>G22*J22</f>
        <v>0</v>
      </c>
      <c r="J22" s="50">
        <v>0.06</v>
      </c>
      <c r="K22" s="63"/>
      <c r="L22" s="63"/>
      <c r="M22" s="93" t="s">
        <v>61</v>
      </c>
      <c r="N22" s="94"/>
    </row>
    <row r="23" spans="1:14" s="3" customFormat="1" ht="42" customHeight="1" x14ac:dyDescent="0.25">
      <c r="A23" s="76" t="s">
        <v>22</v>
      </c>
      <c r="B23" s="82" t="s">
        <v>23</v>
      </c>
      <c r="C23" s="82"/>
      <c r="D23" s="82"/>
      <c r="E23" s="82"/>
      <c r="F23" s="82"/>
      <c r="G23" s="75"/>
      <c r="H23" s="75"/>
      <c r="I23" s="31">
        <f>SUM(I24:I25)</f>
        <v>0</v>
      </c>
      <c r="J23" s="51"/>
      <c r="K23" s="63"/>
      <c r="L23" s="63"/>
      <c r="M23" s="27"/>
      <c r="N23" s="28"/>
    </row>
    <row r="24" spans="1:14" s="3" customFormat="1" ht="33" customHeight="1" x14ac:dyDescent="0.25">
      <c r="A24" s="76"/>
      <c r="B24" s="81" t="s">
        <v>24</v>
      </c>
      <c r="C24" s="81"/>
      <c r="D24" s="81"/>
      <c r="E24" s="81"/>
      <c r="F24" s="81"/>
      <c r="G24" s="75" t="s">
        <v>59</v>
      </c>
      <c r="H24" s="75"/>
      <c r="I24" s="32">
        <f>M13+N13</f>
        <v>0</v>
      </c>
      <c r="J24" s="51"/>
      <c r="K24" s="63"/>
      <c r="L24" s="63"/>
      <c r="M24" s="27"/>
      <c r="N24" s="28"/>
    </row>
    <row r="25" spans="1:14" s="3" customFormat="1" ht="33" customHeight="1" x14ac:dyDescent="0.25">
      <c r="A25" s="76"/>
      <c r="B25" s="81" t="s">
        <v>25</v>
      </c>
      <c r="C25" s="81"/>
      <c r="D25" s="81"/>
      <c r="E25" s="81"/>
      <c r="F25" s="81"/>
      <c r="G25" s="75" t="s">
        <v>47</v>
      </c>
      <c r="H25" s="75"/>
      <c r="I25" s="32">
        <f>J13*J25</f>
        <v>0</v>
      </c>
      <c r="J25" s="47">
        <v>0.03</v>
      </c>
      <c r="K25" s="64"/>
      <c r="L25" s="64"/>
      <c r="M25" s="33"/>
      <c r="N25" s="28"/>
    </row>
    <row r="26" spans="1:14" s="3" customFormat="1" ht="36" customHeight="1" x14ac:dyDescent="0.25">
      <c r="A26" s="99" t="s">
        <v>26</v>
      </c>
      <c r="B26" s="72" t="s">
        <v>27</v>
      </c>
      <c r="C26" s="72"/>
      <c r="D26" s="72"/>
      <c r="E26" s="72"/>
      <c r="F26" s="72"/>
      <c r="G26" s="72"/>
      <c r="H26" s="72"/>
      <c r="I26" s="34">
        <f>I17+I18-I19+I20+I21+I23</f>
        <v>0</v>
      </c>
      <c r="J26" s="45"/>
      <c r="K26" s="61" t="s">
        <v>28</v>
      </c>
      <c r="L26" s="61"/>
      <c r="M26" s="27"/>
      <c r="N26" s="28"/>
    </row>
    <row r="27" spans="1:14" s="3" customFormat="1" ht="36" customHeight="1" x14ac:dyDescent="0.25">
      <c r="A27" s="99"/>
      <c r="B27" s="72" t="s">
        <v>29</v>
      </c>
      <c r="C27" s="72"/>
      <c r="D27" s="72"/>
      <c r="E27" s="72"/>
      <c r="F27" s="72"/>
      <c r="G27" s="72"/>
      <c r="H27" s="72"/>
      <c r="I27" s="35">
        <f>I26+I19</f>
        <v>0</v>
      </c>
      <c r="J27" s="27"/>
      <c r="K27" s="61" t="s">
        <v>30</v>
      </c>
      <c r="L27" s="61"/>
      <c r="M27" s="27"/>
      <c r="N27" s="28"/>
    </row>
    <row r="28" spans="1:14" s="3" customFormat="1" ht="36" customHeight="1" x14ac:dyDescent="0.25">
      <c r="A28" s="99"/>
      <c r="B28" s="72" t="s">
        <v>31</v>
      </c>
      <c r="C28" s="72"/>
      <c r="D28" s="72"/>
      <c r="E28" s="72"/>
      <c r="F28" s="72"/>
      <c r="G28" s="72"/>
      <c r="H28" s="72"/>
      <c r="I28" s="34">
        <f>J13</f>
        <v>0</v>
      </c>
      <c r="J28" s="27"/>
      <c r="K28" s="61" t="s">
        <v>28</v>
      </c>
      <c r="L28" s="61"/>
      <c r="M28" s="27"/>
      <c r="N28" s="28"/>
    </row>
    <row r="29" spans="1:14" s="3" customFormat="1" ht="36" customHeight="1" x14ac:dyDescent="0.25">
      <c r="A29" s="99"/>
      <c r="B29" s="72" t="s">
        <v>32</v>
      </c>
      <c r="C29" s="72"/>
      <c r="D29" s="72"/>
      <c r="E29" s="72"/>
      <c r="F29" s="72"/>
      <c r="G29" s="72"/>
      <c r="H29" s="72"/>
      <c r="I29" s="34">
        <f>H13</f>
        <v>0</v>
      </c>
      <c r="J29" s="27"/>
      <c r="K29" s="61" t="s">
        <v>30</v>
      </c>
      <c r="L29" s="61"/>
      <c r="M29" s="27"/>
      <c r="N29" s="28"/>
    </row>
    <row r="30" spans="1:14" s="3" customFormat="1" ht="36" customHeight="1" x14ac:dyDescent="0.25">
      <c r="A30" s="99"/>
      <c r="B30" s="72" t="s">
        <v>33</v>
      </c>
      <c r="C30" s="72"/>
      <c r="D30" s="72"/>
      <c r="E30" s="72"/>
      <c r="F30" s="72"/>
      <c r="G30" s="72"/>
      <c r="H30" s="72"/>
      <c r="I30" s="36">
        <f>I28-I26</f>
        <v>0</v>
      </c>
      <c r="J30" s="36"/>
      <c r="K30" s="62"/>
      <c r="L30" s="62"/>
      <c r="M30" s="27"/>
      <c r="N30" s="28"/>
    </row>
    <row r="31" spans="1:14" s="3" customFormat="1" ht="36" customHeight="1" x14ac:dyDescent="0.25">
      <c r="A31" s="99"/>
      <c r="B31" s="72" t="s">
        <v>34</v>
      </c>
      <c r="C31" s="72"/>
      <c r="D31" s="72"/>
      <c r="E31" s="72"/>
      <c r="F31" s="72"/>
      <c r="G31" s="72"/>
      <c r="H31" s="72"/>
      <c r="I31" s="36">
        <f>I29-I27</f>
        <v>0</v>
      </c>
      <c r="J31" s="36"/>
      <c r="K31" s="62" t="s">
        <v>52</v>
      </c>
      <c r="L31" s="62"/>
      <c r="M31" s="49" t="e">
        <f>I27/I29</f>
        <v>#DIV/0!</v>
      </c>
      <c r="N31" s="53" t="s">
        <v>56</v>
      </c>
    </row>
    <row r="32" spans="1:14" s="3" customFormat="1" ht="44.25" customHeight="1" x14ac:dyDescent="0.25">
      <c r="A32" s="18"/>
      <c r="B32" s="66" t="s">
        <v>35</v>
      </c>
      <c r="C32" s="66"/>
      <c r="D32" s="66"/>
      <c r="E32" s="66"/>
      <c r="F32" s="66"/>
      <c r="G32" s="66"/>
      <c r="H32" s="66"/>
      <c r="I32" s="6">
        <f>I31*M32</f>
        <v>0</v>
      </c>
      <c r="J32" s="6"/>
      <c r="K32" s="57" t="s">
        <v>53</v>
      </c>
      <c r="L32" s="58"/>
      <c r="M32" s="48">
        <v>2.5000000000000001E-2</v>
      </c>
      <c r="N32" s="48"/>
    </row>
    <row r="33" spans="1:14" s="3" customFormat="1" ht="44.25" customHeight="1" x14ac:dyDescent="0.25">
      <c r="A33" s="18"/>
      <c r="B33" s="66" t="s">
        <v>36</v>
      </c>
      <c r="C33" s="66"/>
      <c r="D33" s="66"/>
      <c r="E33" s="66"/>
      <c r="F33" s="66"/>
      <c r="G33" s="66"/>
      <c r="H33" s="66"/>
      <c r="I33" s="7">
        <f>(I31-I31*0.7)*0.05</f>
        <v>0</v>
      </c>
      <c r="J33" s="52" t="s">
        <v>57</v>
      </c>
      <c r="K33" s="55" t="s">
        <v>48</v>
      </c>
      <c r="L33" s="56"/>
      <c r="M33" s="55">
        <f>I32+I33</f>
        <v>0</v>
      </c>
      <c r="N33" s="56"/>
    </row>
    <row r="34" spans="1:14" s="8" customFormat="1" ht="33.75" customHeight="1" x14ac:dyDescent="0.25">
      <c r="A34" s="95" t="s">
        <v>37</v>
      </c>
      <c r="B34" s="95"/>
      <c r="C34" s="95"/>
      <c r="D34" s="95"/>
      <c r="E34" s="95"/>
      <c r="F34" s="95"/>
      <c r="G34" s="96" t="s">
        <v>38</v>
      </c>
      <c r="H34" s="96"/>
      <c r="I34" s="96"/>
      <c r="J34" s="96" t="s">
        <v>39</v>
      </c>
      <c r="K34" s="96"/>
      <c r="L34" s="96"/>
      <c r="M34" s="96"/>
      <c r="N34" s="96"/>
    </row>
    <row r="35" spans="1:14" ht="18.75" x14ac:dyDescent="0.25">
      <c r="A35" s="37"/>
      <c r="B35" s="37"/>
      <c r="C35" s="37"/>
      <c r="D35" s="38"/>
      <c r="E35" s="38"/>
      <c r="F35" s="38"/>
      <c r="G35" s="9"/>
      <c r="H35" s="39"/>
      <c r="I35" s="39"/>
      <c r="J35" s="39"/>
      <c r="K35" s="39"/>
      <c r="L35" s="39"/>
      <c r="M35" s="40"/>
      <c r="N35" s="38"/>
    </row>
    <row r="36" spans="1:14" ht="18.75" x14ac:dyDescent="0.25">
      <c r="A36" s="37"/>
      <c r="B36" s="37"/>
      <c r="C36" s="37"/>
      <c r="D36" s="38"/>
      <c r="E36" s="38"/>
      <c r="F36" s="38"/>
      <c r="G36" s="9"/>
      <c r="H36" s="39"/>
      <c r="I36" s="39"/>
      <c r="J36" s="39"/>
      <c r="K36" s="39"/>
      <c r="L36" s="39"/>
      <c r="M36" s="9"/>
      <c r="N36" s="38"/>
    </row>
    <row r="37" spans="1:14" ht="18.75" x14ac:dyDescent="0.25">
      <c r="A37" s="37"/>
      <c r="B37" s="37"/>
      <c r="C37" s="37"/>
      <c r="D37" s="38"/>
      <c r="E37" s="38"/>
      <c r="F37" s="38"/>
      <c r="G37" s="9"/>
      <c r="H37" s="39"/>
      <c r="I37" s="39"/>
      <c r="J37" s="39"/>
      <c r="K37" s="39"/>
      <c r="L37" s="39"/>
      <c r="M37" s="9"/>
      <c r="N37" s="38"/>
    </row>
    <row r="38" spans="1:14" ht="18.75" x14ac:dyDescent="0.25">
      <c r="A38" s="37"/>
      <c r="B38" s="37"/>
      <c r="C38" s="37"/>
      <c r="D38" s="38"/>
      <c r="E38" s="38"/>
      <c r="F38" s="38"/>
      <c r="G38" s="9"/>
      <c r="H38" s="39"/>
      <c r="I38" s="39"/>
      <c r="J38" s="39"/>
      <c r="K38" s="39"/>
      <c r="L38" s="39"/>
      <c r="M38" s="9"/>
      <c r="N38" s="38"/>
    </row>
    <row r="39" spans="1:14" ht="36.75" customHeight="1" x14ac:dyDescent="0.25">
      <c r="A39" s="37"/>
      <c r="B39" s="37"/>
      <c r="C39" s="37"/>
      <c r="D39" s="38"/>
      <c r="E39" s="38"/>
      <c r="F39" s="38"/>
      <c r="G39" s="98"/>
      <c r="H39" s="98"/>
      <c r="I39" s="98"/>
      <c r="J39" s="97"/>
      <c r="K39" s="97"/>
      <c r="L39" s="97"/>
      <c r="M39" s="97"/>
      <c r="N39" s="97"/>
    </row>
  </sheetData>
  <mergeCells count="72">
    <mergeCell ref="M17:N19"/>
    <mergeCell ref="M22:N22"/>
    <mergeCell ref="A34:F34"/>
    <mergeCell ref="J34:N34"/>
    <mergeCell ref="J39:N39"/>
    <mergeCell ref="G34:I34"/>
    <mergeCell ref="G39:I39"/>
    <mergeCell ref="G25:H25"/>
    <mergeCell ref="A26:A31"/>
    <mergeCell ref="A23:A25"/>
    <mergeCell ref="G23:H23"/>
    <mergeCell ref="G24:H24"/>
    <mergeCell ref="B23:F23"/>
    <mergeCell ref="G20:H20"/>
    <mergeCell ref="B19:F19"/>
    <mergeCell ref="B20:F20"/>
    <mergeCell ref="A21:A22"/>
    <mergeCell ref="G21:H21"/>
    <mergeCell ref="G22:H22"/>
    <mergeCell ref="B21:F21"/>
    <mergeCell ref="B22:F22"/>
    <mergeCell ref="F1:N2"/>
    <mergeCell ref="A10:N10"/>
    <mergeCell ref="A14:N14"/>
    <mergeCell ref="J15:L16"/>
    <mergeCell ref="B28:H28"/>
    <mergeCell ref="B24:F24"/>
    <mergeCell ref="B25:F25"/>
    <mergeCell ref="B18:F18"/>
    <mergeCell ref="B26:H26"/>
    <mergeCell ref="B27:H27"/>
    <mergeCell ref="A13:G13"/>
    <mergeCell ref="B15:F16"/>
    <mergeCell ref="B17:F17"/>
    <mergeCell ref="G17:H17"/>
    <mergeCell ref="A15:A16"/>
    <mergeCell ref="G15:H16"/>
    <mergeCell ref="B33:H33"/>
    <mergeCell ref="M15:N16"/>
    <mergeCell ref="F3:N3"/>
    <mergeCell ref="A5:N6"/>
    <mergeCell ref="A7:N7"/>
    <mergeCell ref="A8:N8"/>
    <mergeCell ref="A9:N9"/>
    <mergeCell ref="F4:N4"/>
    <mergeCell ref="B29:H29"/>
    <mergeCell ref="B30:H30"/>
    <mergeCell ref="B31:H31"/>
    <mergeCell ref="B32:H32"/>
    <mergeCell ref="I15:I16"/>
    <mergeCell ref="G18:H18"/>
    <mergeCell ref="A19:A20"/>
    <mergeCell ref="G19:H19"/>
    <mergeCell ref="K17:L17"/>
    <mergeCell ref="K18:L18"/>
    <mergeCell ref="K19:L19"/>
    <mergeCell ref="K20:L20"/>
    <mergeCell ref="K21:L21"/>
    <mergeCell ref="K33:L33"/>
    <mergeCell ref="K32:L32"/>
    <mergeCell ref="M33:N33"/>
    <mergeCell ref="M20:N20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</mergeCells>
  <conditionalFormatting sqref="I12:L12">
    <cfRule type="expression" dxfId="0" priority="1">
      <formula>#REF!="Xuất riêng hóa đơn"</formula>
    </cfRule>
  </conditionalFormatting>
  <pageMargins left="0.25" right="0.25" top="0.75" bottom="0.75" header="0.3" footer="0.3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BCKQKD</vt:lpstr>
      <vt:lpstr>BCKQKD!Print_Area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2024-12-05T15:14:19Z</dcterms:created>
  <dcterms:modified xsi:type="dcterms:W3CDTF">2026-05-15T20:46:34Z</dcterms:modified>
</cp:coreProperties>
</file>