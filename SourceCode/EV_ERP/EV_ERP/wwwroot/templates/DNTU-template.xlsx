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mc:AlternateContent xmlns:mc="http://schemas.openxmlformats.org/markup-compatibility/2006">
    <mc:Choice Requires="x15">
      <x15ac:absPath xmlns:x15ac="http://schemas.microsoft.com/office/spreadsheetml/2010/11/ac" url="F:\Dev\EV_ERP\SourceCode\EV_ERP\EV_ERP\wwwroot\templates\"/>
    </mc:Choice>
  </mc:AlternateContent>
  <xr:revisionPtr revIDLastSave="0" documentId="13_ncr:1_{20C3775B-F7A3-4CB7-9ABB-76F81E77466D}" xr6:coauthVersionLast="47" xr6:coauthVersionMax="47" xr10:uidLastSave="{00000000-0000-0000-0000-000000000000}"/>
  <bookViews>
    <workbookView xWindow="-108" yWindow="-108" windowWidth="23256" windowHeight="12576" xr2:uid="{00000000-000D-0000-FFFF-FFFF00000000}"/>
  </bookViews>
  <sheets>
    <sheet name="ĐNTU" sheetId="1" r:id="rId1"/>
  </sheets>
  <definedNames>
    <definedName name="_xlnm.Print_Area" localSheetId="0">ĐNTU!$A$1:$T$26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 l="1"/>
  <c r="E13" i="1" l="1"/>
  <c r="A26" i="1" l="1"/>
  <c r="O12" i="1" l="1"/>
  <c r="G13" i="1"/>
  <c r="L13" i="1" l="1"/>
  <c r="N13" i="1"/>
  <c r="O13" i="1"/>
  <c r="R13" i="1"/>
  <c r="Q13" i="1"/>
  <c r="H12" i="1"/>
  <c r="O14" i="1" l="1"/>
  <c r="S13" i="1"/>
  <c r="F20" i="1" l="1"/>
  <c r="E14" i="1"/>
  <c r="H13" i="1"/>
  <c r="H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4" authorId="0" shapeId="0" xr:uid="{00000000-0006-0000-0000-000001000000}">
      <text>
        <r>
          <rPr>
            <b/>
            <sz val="18"/>
            <color indexed="81"/>
            <rFont val="Tahoma"/>
            <family val="2"/>
          </rPr>
          <t>Admin:</t>
        </r>
        <r>
          <rPr>
            <sz val="18"/>
            <color indexed="81"/>
            <rFont val="Tahoma"/>
            <family val="2"/>
          </rPr>
          <t xml:space="preserve">
</t>
        </r>
        <r>
          <rPr>
            <b/>
            <u/>
            <sz val="18"/>
            <color indexed="81"/>
            <rFont val="Tahoma"/>
            <family val="2"/>
          </rPr>
          <t xml:space="preserve">Quy định các Đề nghị như sau:
</t>
        </r>
        <r>
          <rPr>
            <sz val="18"/>
            <color indexed="81"/>
            <rFont val="Tahoma"/>
            <family val="2"/>
          </rPr>
          <t xml:space="preserve">
</t>
        </r>
        <r>
          <rPr>
            <b/>
            <u/>
            <sz val="18"/>
            <color indexed="81"/>
            <rFont val="Tahoma"/>
            <family val="2"/>
          </rPr>
          <t>+ Đề nghị tạm ứng:</t>
        </r>
        <r>
          <rPr>
            <sz val="18"/>
            <color indexed="81"/>
            <rFont val="Tahoma"/>
            <family val="2"/>
          </rPr>
          <t xml:space="preserve"> có đủ thông tin KH, số PO/Hợp đồng, giá bán, hệ số, các mặt hàng cần mua, giá vốn, nơi mua, sđt liên hệ, hình thức thanh toán... Kế toán phải check rõ các vấn đề tại sao không mua được VAT, tại sao giá vốn không đáp ứng hệ số (sát/hòa/lỗ so với giá bán)... 
</t>
        </r>
        <r>
          <rPr>
            <b/>
            <u/>
            <sz val="18"/>
            <color indexed="81"/>
            <rFont val="Tahoma"/>
            <family val="2"/>
          </rPr>
          <t>+ Đề nghị hoàn ứng:</t>
        </r>
        <r>
          <rPr>
            <sz val="18"/>
            <color indexed="81"/>
            <rFont val="Tahoma"/>
            <family val="2"/>
          </rPr>
          <t xml:space="preserve"> là đề nghị quyết toán cho Đề nghị tạm ứng trên. Kế toán yêu cầu Mua hàng phải list lại toàn bộ chi phí của 1 đơn hàng, phí vận chuyển về văn phòng, phí vc đến khách hàng, phí phát sinh... để ra được giá vốn của mục hàng. Yêu cầu giải trình nếu chi phí bị phát sinh quá nhiều, lỗi do đâu, nếu không hợp lý thì sẽ không được hoàn ứng. 1 list hàng của 1 PO/ Hợp đồng chỉ được Hoàn ứng trong 1 lần, không chấp nhận phát sinh ở trong 1 ĐNHƯ khác. 
</t>
        </r>
        <r>
          <rPr>
            <b/>
            <u/>
            <sz val="18"/>
            <color indexed="81"/>
            <rFont val="Tahoma"/>
            <family val="2"/>
          </rPr>
          <t>+ Đề nghị thanh toán:</t>
        </r>
        <r>
          <rPr>
            <sz val="18"/>
            <color indexed="81"/>
            <rFont val="Tahoma"/>
            <family val="2"/>
          </rPr>
          <t xml:space="preserve"> là đề nghị thanh toán cho các đơn hàng/hợp đồng đã hoàn thành, mà trước đó Mua hàng chưa tạm ứng (có thể do điều khoản thanh toán sau của NCC hoặc Mua hàng đã tự tạm ứng trước đó..). Lưu ý cũng check các vấn đề tương tự như ĐNTU và ĐNHU đã nêu. </t>
        </r>
      </text>
    </comment>
    <comment ref="H5" authorId="0" shapeId="0" xr:uid="{00000000-0006-0000-0000-000002000000}">
      <text>
        <r>
          <rPr>
            <b/>
            <sz val="12"/>
            <color indexed="81"/>
            <rFont val="Tahoma"/>
            <family val="2"/>
          </rPr>
          <t>Admin:</t>
        </r>
        <r>
          <rPr>
            <sz val="12"/>
            <color indexed="81"/>
            <rFont val="Tahoma"/>
            <family val="2"/>
          </rPr>
          <t xml:space="preserve">
</t>
        </r>
        <r>
          <rPr>
            <b/>
            <sz val="16"/>
            <color indexed="81"/>
            <rFont val="Arial"/>
            <family val="2"/>
          </rPr>
          <t>NVMH tự đặt STT DNTU để có thể tự theo dõi từ đầu. KT check và nhập theo  STT này. STT DNTU sẽ trùng với STT DNHU.
STT của DNTT là riêng biệt, không liên quan STT DNTU hay DNHU.</t>
        </r>
      </text>
    </comment>
    <comment ref="F18" authorId="0" shapeId="0" xr:uid="{00000000-0006-0000-0000-000003000000}">
      <text>
        <r>
          <rPr>
            <b/>
            <sz val="16"/>
            <color indexed="81"/>
            <rFont val="Arial"/>
            <family val="2"/>
          </rPr>
          <t>Admin:</t>
        </r>
        <r>
          <rPr>
            <sz val="16"/>
            <color indexed="81"/>
            <rFont val="Arial"/>
            <family val="2"/>
          </rPr>
          <t xml:space="preserve">
- Ô đã nhận tạm ứng: bôi đỏ
- Ô cần tạm ứng lần này: để trắng, số đỏ</t>
        </r>
      </text>
    </comment>
  </commentList>
</comments>
</file>

<file path=xl/sharedStrings.xml><?xml version="1.0" encoding="utf-8"?>
<sst xmlns="http://schemas.openxmlformats.org/spreadsheetml/2006/main" count="83" uniqueCount="65">
  <si>
    <t>CÔNG TY CỔ PHẦN TƯ VẤN THIẾT BỊ EASTERN VISION
EASTERN VISION EQUIPMENT CONSULTANCY .,JSC</t>
  </si>
  <si>
    <t>Tel. 0988118801   |   Website: https://evhospitality.vn/</t>
  </si>
  <si>
    <t xml:space="preserve">   </t>
  </si>
  <si>
    <t>STT</t>
  </si>
  <si>
    <t>ĐVT</t>
  </si>
  <si>
    <t>THÀNH TIỀN
(VNĐ)</t>
  </si>
  <si>
    <t xml:space="preserve">Trưởng phòng </t>
  </si>
  <si>
    <t>Kế toán</t>
  </si>
  <si>
    <t>Giám đốc</t>
  </si>
  <si>
    <t>NCC</t>
  </si>
  <si>
    <t>TÊN HÀNG HOÁ</t>
  </si>
  <si>
    <t>TỶ GIÁ</t>
  </si>
  <si>
    <t>ĐƠN GIÁ MUA
VNĐ</t>
  </si>
  <si>
    <t>ĐƠN GIÁ MUA
NGUYÊN TỆ</t>
  </si>
  <si>
    <t>SL BÁN</t>
  </si>
  <si>
    <t>THUẾ 
VAT</t>
  </si>
  <si>
    <t>SL 
MUA</t>
  </si>
  <si>
    <t>THUẾ
VAT</t>
  </si>
  <si>
    <t xml:space="preserve">Họ và tên: </t>
  </si>
  <si>
    <t>Kg
/Volume</t>
  </si>
  <si>
    <t xml:space="preserve">Số PO/HĐ: </t>
  </si>
  <si>
    <t xml:space="preserve">Thuộc phòng: </t>
  </si>
  <si>
    <t>đồng</t>
  </si>
  <si>
    <t>TỔNG GIÁ TRỊ ĐƠN HÀNG (VND)</t>
  </si>
  <si>
    <t>TỔNG CHI PHÍ TIỀN HÀNG (VND)</t>
  </si>
  <si>
    <t>HÌNH THỨC TT
TM / CKCTy</t>
  </si>
  <si>
    <t>PHÍ V/CHUYỂN
 VỀ VP</t>
  </si>
  <si>
    <t>PHÍ V/CHUYỂN
 ĐẾN KH</t>
  </si>
  <si>
    <t>HS</t>
  </si>
  <si>
    <t>ĐƠN GIÁ BÁN
VNĐ</t>
  </si>
  <si>
    <t>TM</t>
  </si>
  <si>
    <t>Tên Dự án/
Khách sạn</t>
  </si>
  <si>
    <t>Khách hàng/ Tên Công ty:</t>
  </si>
  <si>
    <t>ĐỀ NGHỊ MUA HÀNG</t>
  </si>
  <si>
    <t>SỐ TIỀN TẠM ỨNG LẦN 1</t>
  </si>
  <si>
    <t>SỐ TIỀN TẠM ỨNG LẦN 2</t>
  </si>
  <si>
    <t>Phòng mua hàng</t>
  </si>
  <si>
    <t>CK Cty</t>
  </si>
  <si>
    <t>Người đề nghị</t>
  </si>
  <si>
    <t>CN TÂM</t>
  </si>
  <si>
    <t>Ngày nhận PO:</t>
  </si>
  <si>
    <t>Thời gian giao hàng theo BG/PO:</t>
  </si>
  <si>
    <t>(DNTU26_NAME+STT)</t>
  </si>
  <si>
    <t>CN TBS</t>
  </si>
  <si>
    <t>Số tiền cần tạm ứng Lần 3:</t>
  </si>
  <si>
    <r>
      <t>Số tiền cần</t>
    </r>
    <r>
      <rPr>
        <b/>
        <sz val="18"/>
        <color rgb="FF002060"/>
        <rFont val="Times New Roman"/>
        <family val="1"/>
      </rPr>
      <t xml:space="preserve"> tạm ứng Lần 2: </t>
    </r>
  </si>
  <si>
    <t>Số 125 phố Vĩnh Phúc, Phường Ngọc Hà, Thành phố Hà Nội, Việt Nam</t>
  </si>
  <si>
    <r>
      <t xml:space="preserve">Số tiền </t>
    </r>
    <r>
      <rPr>
        <b/>
        <sz val="18"/>
        <color rgb="FFFF0000"/>
        <rFont val="Times New Roman"/>
        <family val="1"/>
      </rPr>
      <t>(đã/cần)</t>
    </r>
    <r>
      <rPr>
        <b/>
        <sz val="18"/>
        <rFont val="Times New Roman"/>
        <family val="1"/>
      </rPr>
      <t xml:space="preserve"> tạm ứng Lần 1: </t>
    </r>
  </si>
  <si>
    <t>VŨ TRUNG HIẾU</t>
  </si>
  <si>
    <r>
      <t xml:space="preserve">Note: 
</t>
    </r>
    <r>
      <rPr>
        <b/>
        <sz val="15"/>
        <color rgb="FFFF0000"/>
        <rFont val="Times New Roman"/>
        <family val="1"/>
      </rPr>
      <t>1. Mục hàng nào gấp, đề nghị bôi đỏ vá nhắn rõ khi gửi hồ sơ</t>
    </r>
    <r>
      <rPr>
        <b/>
        <sz val="15"/>
        <color theme="1"/>
        <rFont val="Times New Roman"/>
        <family val="1"/>
      </rPr>
      <t xml:space="preserve">
2. Cột Tên hàng hóa, ĐVT yêu cầu nhập đúng theo PO/HĐ
3. Cột VAT bắt buộc điền 0%, 8%, 10%...
4. Chuyển khoản cá nhân được hiểu là TT Tiền mặt
5. Cột CKCty paste luôn thông tin TK Cty
6. Nếu tạm ứng nhiều lần, các lần tiếp theo insert thêm dòng ở dưới. 
</t>
    </r>
    <r>
      <rPr>
        <b/>
        <sz val="15"/>
        <color rgb="FFFF0000"/>
        <rFont val="Times New Roman"/>
        <family val="1"/>
      </rPr>
      <t xml:space="preserve">Bôi vàng các hạng mục tạm ứng của lần đó. </t>
    </r>
    <r>
      <rPr>
        <b/>
        <sz val="15"/>
        <color theme="1"/>
        <rFont val="Times New Roman"/>
        <family val="1"/>
      </rPr>
      <t xml:space="preserve">
</t>
    </r>
    <r>
      <rPr>
        <b/>
        <sz val="15"/>
        <color rgb="FFFF0000"/>
        <rFont val="Times New Roman"/>
        <family val="1"/>
      </rPr>
      <t>Chỉ áp dụng tạm ứng nhiều lần với các đơn hàng Dự án.</t>
    </r>
    <r>
      <rPr>
        <b/>
        <sz val="15"/>
        <color theme="1"/>
        <rFont val="Times New Roman"/>
        <family val="1"/>
      </rPr>
      <t xml:space="preserve">
7. Yêu cầu điền đủ TẤT CẢ các ô dữ liệu trong bảng</t>
    </r>
  </si>
  <si>
    <t>Ngày    03     Tháng     04      Năm 2026</t>
  </si>
  <si>
    <t>Số ĐNTU: DNTU26_DUNG</t>
  </si>
  <si>
    <t>03.04.2026</t>
  </si>
  <si>
    <t>20.04.2026</t>
  </si>
  <si>
    <t>https://shopee.vn/20-N%C3%BAt-%C4%91%E1%BB%87m-cao-su-3M-SJ5312-(N%C3%BAt-d%E1%BA%B9t)-V%C3%A0-30-N%C3%BAt-3MSJ5302-(N%C3%BAt-V%C3%B2m-Nh%E1%BB%8F)-i.50663522.7926817811?sp_atk=12653609-96c4-49c5-ad3a-5eb6b2bceb18&amp;xptdk=12653609-96c4-49c5-ad3a-5eb6b2bceb18</t>
  </si>
  <si>
    <t>Ngày: 03/04/2026</t>
  </si>
  <si>
    <t>{PO}</t>
  </si>
  <si>
    <t>{User}</t>
  </si>
  <si>
    <t>{CustomerName}</t>
  </si>
  <si>
    <t>{ProductName}</t>
  </si>
  <si>
    <t>{DVT}</t>
  </si>
  <si>
    <t>{Quantity}</t>
  </si>
  <si>
    <t>{Price}</t>
  </si>
  <si>
    <t>{PurchasePrice}</t>
  </si>
  <si>
    <t>{ShippingFee}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</si>
</sst>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00_);_(* \(#,##0.000\);_(* &quot;-&quot;??_);_(@_)"/>
    <numFmt numFmtId="166" formatCode="#,##0\ [$VND]\ "/>
  </numFmts>
  <fonts count="42">
    <font>
      <sz val="11"/>
      <color theme="1"/>
      <name val="Calibri"/>
      <family val="2"/>
      <scheme val="minor"/>
    </font>
    <font>
      <sz val="11"/>
      <color theme="1"/>
      <name val="Calibri"/>
      <family val="2"/>
      <scheme val="minor"/>
    </font>
    <font>
      <sz val="10"/>
      <name val="Arial"/>
      <family val="2"/>
      <charset val="163"/>
    </font>
    <font>
      <sz val="36"/>
      <name val="Times New Roman"/>
      <family val="1"/>
    </font>
    <font>
      <b/>
      <sz val="36"/>
      <color rgb="FF47B0C5"/>
      <name val="Tw Cen MT"/>
      <family val="2"/>
    </font>
    <font>
      <b/>
      <sz val="36"/>
      <color rgb="FFFF0000"/>
      <name val="Times New Roman"/>
      <family val="1"/>
    </font>
    <font>
      <i/>
      <sz val="36"/>
      <name val="Tw Cen MT"/>
      <family val="2"/>
    </font>
    <font>
      <sz val="12"/>
      <name val=".VnArial Narrow"/>
      <family val="2"/>
    </font>
    <font>
      <b/>
      <sz val="36"/>
      <name val="Times New Roman"/>
      <family val="1"/>
    </font>
    <font>
      <sz val="10"/>
      <name val="Arial"/>
      <family val="2"/>
    </font>
    <font>
      <sz val="10"/>
      <color rgb="FF000000"/>
      <name val="Times New Roman"/>
      <family val="1"/>
    </font>
    <font>
      <i/>
      <sz val="16"/>
      <name val="Times New Roman"/>
      <family val="1"/>
    </font>
    <font>
      <sz val="16"/>
      <name val="Times New Roman"/>
      <family val="1"/>
    </font>
    <font>
      <b/>
      <sz val="16"/>
      <color rgb="FFFF0000"/>
      <name val="Times New Roman"/>
      <family val="1"/>
    </font>
    <font>
      <b/>
      <sz val="16"/>
      <name val="Times New Roman"/>
      <family val="1"/>
    </font>
    <font>
      <sz val="16"/>
      <color theme="1"/>
      <name val="Times New Roman"/>
      <family val="1"/>
    </font>
    <font>
      <b/>
      <sz val="18"/>
      <name val="Times New Roman"/>
      <family val="1"/>
    </font>
    <font>
      <i/>
      <sz val="18"/>
      <color rgb="FFFF0000"/>
      <name val="Times New Roman"/>
      <family val="1"/>
    </font>
    <font>
      <i/>
      <sz val="18"/>
      <name val="Times New Roman"/>
      <family val="1"/>
    </font>
    <font>
      <b/>
      <sz val="18"/>
      <color rgb="FFFF0000"/>
      <name val="Times New Roman"/>
      <family val="1"/>
    </font>
    <font>
      <sz val="18"/>
      <name val="Times New Roman"/>
      <family val="1"/>
    </font>
    <font>
      <b/>
      <sz val="36"/>
      <color theme="0"/>
      <name val="Times New Roman"/>
      <family val="1"/>
    </font>
    <font>
      <b/>
      <sz val="20"/>
      <color rgb="FFFF0000"/>
      <name val="Times New Roman"/>
      <family val="1"/>
    </font>
    <font>
      <b/>
      <sz val="18"/>
      <color rgb="FF002060"/>
      <name val="Times New Roman"/>
      <family val="1"/>
    </font>
    <font>
      <b/>
      <sz val="18"/>
      <color rgb="FFC00000"/>
      <name val="Times New Roman"/>
      <family val="1"/>
    </font>
    <font>
      <b/>
      <sz val="20"/>
      <color rgb="FF002060"/>
      <name val="Times New Roman"/>
      <family val="1"/>
    </font>
    <font>
      <b/>
      <sz val="18"/>
      <color theme="0"/>
      <name val="Times New Roman"/>
      <family val="1"/>
    </font>
    <font>
      <sz val="8"/>
      <name val="Calibri"/>
      <family val="2"/>
      <scheme val="minor"/>
    </font>
    <font>
      <b/>
      <sz val="18"/>
      <color theme="4"/>
      <name val="Times New Roman"/>
      <family val="1"/>
    </font>
    <font>
      <b/>
      <sz val="16"/>
      <color theme="1"/>
      <name val="Times New Roman"/>
      <family val="1"/>
    </font>
    <font>
      <b/>
      <sz val="12"/>
      <color indexed="81"/>
      <name val="Tahoma"/>
      <family val="2"/>
    </font>
    <font>
      <sz val="12"/>
      <color indexed="81"/>
      <name val="Tahoma"/>
      <family val="2"/>
    </font>
    <font>
      <b/>
      <sz val="16"/>
      <color indexed="81"/>
      <name val="Arial"/>
      <family val="2"/>
    </font>
    <font>
      <sz val="16"/>
      <color indexed="81"/>
      <name val="Arial"/>
      <family val="2"/>
    </font>
    <font>
      <b/>
      <sz val="15"/>
      <color theme="1"/>
      <name val="Times New Roman"/>
      <family val="1"/>
    </font>
    <font>
      <b/>
      <sz val="15"/>
      <color rgb="FFFF0000"/>
      <name val="Times New Roman"/>
      <family val="1"/>
    </font>
    <font>
      <b/>
      <sz val="28"/>
      <color rgb="FF47B0C5"/>
      <name val="Tw Cen MT"/>
      <family val="2"/>
    </font>
    <font>
      <i/>
      <sz val="24"/>
      <name val="Tw Cen MT"/>
      <family val="2"/>
    </font>
    <font>
      <b/>
      <sz val="18"/>
      <color indexed="81"/>
      <name val="Tahoma"/>
      <family val="2"/>
    </font>
    <font>
      <sz val="18"/>
      <color indexed="81"/>
      <name val="Tahoma"/>
      <family val="2"/>
    </font>
    <font>
      <b/>
      <u/>
      <sz val="18"/>
      <color indexed="81"/>
      <name val="Tahoma"/>
      <family val="2"/>
    </font>
    <font>
      <u/>
      <sz val="11"/>
      <color theme="10"/>
      <name val="Calibri"/>
      <family val="2"/>
      <scheme val="minor"/>
    </font>
  </fonts>
  <fills count="16">
    <fill>
      <patternFill patternType="none"/>
    </fill>
    <fill>
      <patternFill patternType="gray125"/>
    </fill>
    <fill>
      <patternFill patternType="solid">
        <fgColor theme="0"/>
        <bgColor indexed="64"/>
      </patternFill>
    </fill>
    <fill>
      <patternFill patternType="solid">
        <fgColor rgb="FF47B0C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rgb="FFFF5050"/>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8"/>
        <bgColor indexed="64"/>
      </patternFill>
    </fill>
    <fill>
      <patternFill patternType="solid">
        <fgColor theme="7" tint="0.39997558519241921"/>
        <bgColor indexed="64"/>
      </patternFill>
    </fill>
  </fills>
  <borders count="8">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s>
  <cellStyleXfs count="9">
    <xf numFmtId="166" fontId="0" fillId="0" borderId="0"/>
    <xf numFmtId="43" fontId="9" fillId="0" borderId="0" applyFont="0" applyFill="0" applyBorder="0" applyAlignment="0" applyProtection="0"/>
    <xf numFmtId="166" fontId="2" fillId="0" borderId="0"/>
    <xf numFmtId="166" fontId="1" fillId="0" borderId="0"/>
    <xf numFmtId="166" fontId="7" fillId="0" borderId="0"/>
    <xf numFmtId="166" fontId="1" fillId="0" borderId="0"/>
    <xf numFmtId="0" fontId="10" fillId="0" borderId="0"/>
    <xf numFmtId="9" fontId="1" fillId="0" borderId="0" applyFont="0" applyFill="0" applyBorder="0" applyAlignment="0" applyProtection="0"/>
    <xf numFmtId="166" fontId="41" fillId="0" borderId="0" applyNumberFormat="0" applyFill="0" applyBorder="0" applyAlignment="0" applyProtection="0"/>
  </cellStyleXfs>
  <cellXfs count="162">
    <xf numFmtId="166" fontId="0" fillId="0" borderId="0" xfId="0"/>
    <xf numFmtId="166" fontId="3" fillId="0" borderId="0" xfId="2" applyFont="1" applyAlignment="1">
      <alignment vertical="center"/>
    </xf>
    <xf numFmtId="166" fontId="3" fillId="0" borderId="0" xfId="2" applyFont="1"/>
    <xf numFmtId="166" fontId="5" fillId="0" borderId="0" xfId="2" applyFont="1"/>
    <xf numFmtId="166" fontId="3" fillId="0" borderId="0" xfId="2" applyFont="1" applyAlignment="1">
      <alignment horizontal="right"/>
    </xf>
    <xf numFmtId="164" fontId="3" fillId="0" borderId="0" xfId="2" applyNumberFormat="1" applyFont="1"/>
    <xf numFmtId="166" fontId="3" fillId="0" borderId="0" xfId="2" applyFont="1" applyAlignment="1">
      <alignment horizontal="center"/>
    </xf>
    <xf numFmtId="164" fontId="3" fillId="0" borderId="0" xfId="1" applyNumberFormat="1" applyFont="1" applyAlignment="1">
      <alignment horizontal="center"/>
    </xf>
    <xf numFmtId="166" fontId="8" fillId="0" borderId="0" xfId="2" applyFont="1" applyAlignment="1">
      <alignment horizontal="center"/>
    </xf>
    <xf numFmtId="166" fontId="8" fillId="0" borderId="0" xfId="2" applyFont="1" applyAlignment="1">
      <alignment vertical="center"/>
    </xf>
    <xf numFmtId="166" fontId="8" fillId="0" borderId="0" xfId="2" applyFont="1"/>
    <xf numFmtId="164" fontId="3" fillId="0" borderId="0" xfId="2" applyNumberFormat="1" applyFont="1" applyAlignment="1">
      <alignment horizontal="center"/>
    </xf>
    <xf numFmtId="166" fontId="6" fillId="0" borderId="0" xfId="2" applyFont="1" applyAlignment="1">
      <alignment vertical="center" wrapText="1"/>
    </xf>
    <xf numFmtId="166" fontId="6" fillId="0" borderId="0" xfId="2" applyFont="1" applyAlignment="1">
      <alignment horizontal="center" vertical="center" wrapText="1"/>
    </xf>
    <xf numFmtId="166" fontId="4" fillId="2" borderId="0" xfId="3" applyFont="1" applyFill="1" applyAlignment="1">
      <alignment vertical="center" wrapText="1"/>
    </xf>
    <xf numFmtId="166" fontId="11" fillId="0" borderId="0" xfId="4" applyFont="1" applyAlignment="1">
      <alignment vertical="center"/>
    </xf>
    <xf numFmtId="166" fontId="12" fillId="0" borderId="0" xfId="2" applyFont="1"/>
    <xf numFmtId="166" fontId="13" fillId="0" borderId="0" xfId="2" applyFont="1" applyAlignment="1">
      <alignment horizontal="right"/>
    </xf>
    <xf numFmtId="166" fontId="12" fillId="0" borderId="0" xfId="2" applyFont="1" applyAlignment="1">
      <alignment horizontal="right"/>
    </xf>
    <xf numFmtId="3" fontId="12" fillId="2" borderId="2" xfId="2" applyNumberFormat="1" applyFont="1" applyFill="1" applyBorder="1" applyAlignment="1">
      <alignment horizontal="center" vertical="center" wrapText="1"/>
    </xf>
    <xf numFmtId="0" fontId="12" fillId="0" borderId="2" xfId="6" applyFont="1" applyBorder="1" applyAlignment="1">
      <alignment horizontal="left" vertical="center" wrapText="1"/>
    </xf>
    <xf numFmtId="166" fontId="12" fillId="2" borderId="2" xfId="2" applyFont="1" applyFill="1" applyBorder="1" applyAlignment="1">
      <alignment horizontal="center" vertical="center"/>
    </xf>
    <xf numFmtId="164" fontId="15" fillId="2" borderId="2" xfId="1" applyNumberFormat="1" applyFont="1" applyFill="1" applyBorder="1" applyAlignment="1">
      <alignment vertical="center"/>
    </xf>
    <xf numFmtId="9" fontId="15" fillId="2" borderId="2" xfId="7" applyFont="1" applyFill="1" applyBorder="1" applyAlignment="1">
      <alignment horizontal="center" vertical="center"/>
    </xf>
    <xf numFmtId="3" fontId="14" fillId="2" borderId="2" xfId="2" applyNumberFormat="1" applyFont="1" applyFill="1" applyBorder="1" applyAlignment="1">
      <alignment horizontal="right" vertical="center" wrapText="1"/>
    </xf>
    <xf numFmtId="3" fontId="14" fillId="2" borderId="2" xfId="2" applyNumberFormat="1" applyFont="1" applyFill="1" applyBorder="1" applyAlignment="1">
      <alignment horizontal="right" vertical="center"/>
    </xf>
    <xf numFmtId="164" fontId="12" fillId="0" borderId="0" xfId="1" applyNumberFormat="1" applyFont="1" applyAlignment="1">
      <alignment horizontal="center"/>
    </xf>
    <xf numFmtId="166" fontId="12" fillId="0" borderId="0" xfId="2" applyFont="1" applyAlignment="1">
      <alignment horizontal="center"/>
    </xf>
    <xf numFmtId="166" fontId="13" fillId="0" borderId="0" xfId="2" applyFont="1"/>
    <xf numFmtId="166" fontId="14" fillId="0" borderId="0" xfId="2" applyFont="1" applyAlignment="1">
      <alignment horizontal="center" vertical="center"/>
    </xf>
    <xf numFmtId="164" fontId="12" fillId="0" borderId="0" xfId="2" applyNumberFormat="1" applyFont="1"/>
    <xf numFmtId="164" fontId="12" fillId="0" borderId="0" xfId="2" applyNumberFormat="1" applyFont="1" applyAlignment="1">
      <alignment horizontal="center"/>
    </xf>
    <xf numFmtId="166" fontId="14" fillId="0" borderId="0" xfId="2" applyFont="1" applyAlignment="1">
      <alignment horizontal="center"/>
    </xf>
    <xf numFmtId="166" fontId="14" fillId="0" borderId="0" xfId="4" applyFont="1" applyAlignment="1">
      <alignment horizontal="center"/>
    </xf>
    <xf numFmtId="166" fontId="12" fillId="0" borderId="0" xfId="4" applyFont="1"/>
    <xf numFmtId="166" fontId="12" fillId="0" borderId="0" xfId="4" applyFont="1" applyAlignment="1">
      <alignment horizontal="center"/>
    </xf>
    <xf numFmtId="164" fontId="12" fillId="0" borderId="0" xfId="4" applyNumberFormat="1" applyFont="1"/>
    <xf numFmtId="164" fontId="12" fillId="0" borderId="0" xfId="4" applyNumberFormat="1" applyFont="1" applyAlignment="1">
      <alignment horizontal="center"/>
    </xf>
    <xf numFmtId="166" fontId="13" fillId="0" borderId="0" xfId="2" applyFont="1" applyAlignment="1">
      <alignment vertical="center"/>
    </xf>
    <xf numFmtId="166" fontId="14" fillId="0" borderId="0" xfId="2" applyFont="1"/>
    <xf numFmtId="164" fontId="14" fillId="0" borderId="0" xfId="2" applyNumberFormat="1" applyFont="1"/>
    <xf numFmtId="164" fontId="14" fillId="0" borderId="0" xfId="2" applyNumberFormat="1" applyFont="1" applyAlignment="1">
      <alignment horizontal="center"/>
    </xf>
    <xf numFmtId="166" fontId="14" fillId="0" borderId="0" xfId="4" applyFont="1"/>
    <xf numFmtId="166" fontId="14" fillId="0" borderId="0" xfId="2" applyFont="1" applyAlignment="1">
      <alignment horizontal="left" vertical="center"/>
    </xf>
    <xf numFmtId="166" fontId="16" fillId="4" borderId="2" xfId="2" applyFont="1" applyFill="1" applyBorder="1" applyAlignment="1">
      <alignment horizontal="center" vertical="center" wrapText="1"/>
    </xf>
    <xf numFmtId="164" fontId="16" fillId="4" borderId="2" xfId="2" applyNumberFormat="1" applyFont="1" applyFill="1" applyBorder="1" applyAlignment="1">
      <alignment horizontal="center" vertical="center" wrapText="1"/>
    </xf>
    <xf numFmtId="166" fontId="16" fillId="2" borderId="2" xfId="2" applyFont="1" applyFill="1" applyBorder="1" applyAlignment="1">
      <alignment horizontal="center" vertical="center" wrapText="1"/>
    </xf>
    <xf numFmtId="164" fontId="16" fillId="4" borderId="2" xfId="1" applyNumberFormat="1" applyFont="1" applyFill="1" applyBorder="1" applyAlignment="1">
      <alignment horizontal="center" vertical="center" wrapText="1"/>
    </xf>
    <xf numFmtId="166" fontId="17" fillId="0" borderId="0" xfId="4" applyFont="1" applyAlignment="1">
      <alignment vertical="center"/>
    </xf>
    <xf numFmtId="166" fontId="18" fillId="0" borderId="0" xfId="4" applyFont="1" applyAlignment="1">
      <alignment vertical="center"/>
    </xf>
    <xf numFmtId="166" fontId="17" fillId="0" borderId="1" xfId="4" applyFont="1" applyBorder="1" applyAlignment="1">
      <alignment vertical="center"/>
    </xf>
    <xf numFmtId="166" fontId="16" fillId="0" borderId="0" xfId="4" applyFont="1" applyAlignment="1">
      <alignment vertical="center"/>
    </xf>
    <xf numFmtId="3" fontId="20" fillId="0" borderId="2" xfId="2" applyNumberFormat="1" applyFont="1" applyBorder="1" applyAlignment="1">
      <alignment horizontal="center" vertical="center" wrapText="1"/>
    </xf>
    <xf numFmtId="3" fontId="19" fillId="0" borderId="2" xfId="2" applyNumberFormat="1" applyFont="1" applyBorder="1" applyAlignment="1">
      <alignment horizontal="right" vertical="center" wrapText="1"/>
    </xf>
    <xf numFmtId="3" fontId="16" fillId="0" borderId="2" xfId="2" applyNumberFormat="1" applyFont="1" applyBorder="1" applyAlignment="1">
      <alignment horizontal="right" vertical="center" wrapText="1"/>
    </xf>
    <xf numFmtId="164" fontId="19" fillId="0" borderId="2" xfId="1" applyNumberFormat="1" applyFont="1" applyBorder="1" applyAlignment="1">
      <alignment vertical="center"/>
    </xf>
    <xf numFmtId="3" fontId="20" fillId="0" borderId="0" xfId="2" applyNumberFormat="1" applyFont="1" applyAlignment="1">
      <alignment horizontal="center" vertical="center" wrapText="1"/>
    </xf>
    <xf numFmtId="166" fontId="16" fillId="0" borderId="0" xfId="2" applyFont="1" applyAlignment="1">
      <alignment horizontal="center" vertical="center" wrapText="1"/>
    </xf>
    <xf numFmtId="166" fontId="19" fillId="0" borderId="0" xfId="2" applyFont="1" applyAlignment="1">
      <alignment horizontal="center" vertical="center" wrapText="1"/>
    </xf>
    <xf numFmtId="4" fontId="19" fillId="0" borderId="0" xfId="2" applyNumberFormat="1" applyFont="1" applyAlignment="1">
      <alignment horizontal="right" vertical="center" wrapText="1"/>
    </xf>
    <xf numFmtId="166" fontId="20" fillId="0" borderId="0" xfId="2" applyFont="1" applyAlignment="1">
      <alignment horizontal="center"/>
    </xf>
    <xf numFmtId="3" fontId="19" fillId="0" borderId="2" xfId="4" applyNumberFormat="1" applyFont="1" applyBorder="1" applyAlignment="1">
      <alignment vertical="center"/>
    </xf>
    <xf numFmtId="166" fontId="16" fillId="0" borderId="0" xfId="0" applyFont="1" applyAlignment="1">
      <alignment vertical="center"/>
    </xf>
    <xf numFmtId="166" fontId="16" fillId="0" borderId="0" xfId="2" applyFont="1" applyAlignment="1">
      <alignment vertical="center"/>
    </xf>
    <xf numFmtId="166" fontId="20" fillId="0" borderId="0" xfId="2" applyFont="1"/>
    <xf numFmtId="166" fontId="19" fillId="0" borderId="0" xfId="2" applyFont="1"/>
    <xf numFmtId="166" fontId="20" fillId="0" borderId="0" xfId="2" applyFont="1" applyAlignment="1">
      <alignment horizontal="center" vertical="center"/>
    </xf>
    <xf numFmtId="166" fontId="16" fillId="0" borderId="0" xfId="4" applyFont="1" applyAlignment="1">
      <alignment horizontal="center" vertical="center"/>
    </xf>
    <xf numFmtId="164" fontId="20" fillId="0" borderId="0" xfId="1" applyNumberFormat="1" applyFont="1" applyAlignment="1">
      <alignment horizontal="center"/>
    </xf>
    <xf numFmtId="164" fontId="20" fillId="0" borderId="0" xfId="2" applyNumberFormat="1" applyFont="1"/>
    <xf numFmtId="164" fontId="20" fillId="0" borderId="0" xfId="2" applyNumberFormat="1" applyFont="1" applyAlignment="1">
      <alignment horizontal="center"/>
    </xf>
    <xf numFmtId="166" fontId="16" fillId="0" borderId="0" xfId="2" applyFont="1" applyAlignment="1">
      <alignment horizontal="center" vertical="center"/>
    </xf>
    <xf numFmtId="166" fontId="4" fillId="2" borderId="0" xfId="3" applyFont="1" applyFill="1" applyAlignment="1">
      <alignment horizontal="center" vertical="center" wrapText="1"/>
    </xf>
    <xf numFmtId="3" fontId="16" fillId="5" borderId="2" xfId="2" applyNumberFormat="1" applyFont="1" applyFill="1" applyBorder="1" applyAlignment="1">
      <alignment vertical="center" wrapText="1"/>
    </xf>
    <xf numFmtId="166" fontId="3" fillId="2" borderId="0" xfId="2" applyFont="1" applyFill="1" applyAlignment="1">
      <alignment vertical="center"/>
    </xf>
    <xf numFmtId="166" fontId="13" fillId="0" borderId="0" xfId="2" applyFont="1" applyAlignment="1">
      <alignment horizontal="center"/>
    </xf>
    <xf numFmtId="164" fontId="12" fillId="2" borderId="2" xfId="1" applyNumberFormat="1" applyFont="1" applyFill="1" applyBorder="1" applyAlignment="1">
      <alignment horizontal="center" vertical="center"/>
    </xf>
    <xf numFmtId="43" fontId="20" fillId="0" borderId="2" xfId="1" applyFont="1" applyBorder="1" applyAlignment="1">
      <alignment horizontal="center" vertical="center"/>
    </xf>
    <xf numFmtId="166" fontId="19" fillId="0" borderId="0" xfId="2" applyFont="1" applyAlignment="1">
      <alignment horizontal="center"/>
    </xf>
    <xf numFmtId="166" fontId="13" fillId="0" borderId="0" xfId="2" applyFont="1" applyAlignment="1">
      <alignment horizontal="center" vertical="center"/>
    </xf>
    <xf numFmtId="166" fontId="5" fillId="0" borderId="0" xfId="2" applyFont="1" applyAlignment="1">
      <alignment horizontal="center"/>
    </xf>
    <xf numFmtId="166" fontId="16" fillId="0" borderId="0" xfId="4" applyFont="1" applyAlignment="1">
      <alignment horizontal="right" vertical="center"/>
    </xf>
    <xf numFmtId="164" fontId="15" fillId="2" borderId="2" xfId="1" applyNumberFormat="1" applyFont="1" applyFill="1" applyBorder="1" applyAlignment="1">
      <alignment horizontal="right" vertical="center"/>
    </xf>
    <xf numFmtId="164" fontId="12" fillId="2" borderId="2" xfId="1" applyNumberFormat="1" applyFont="1" applyFill="1" applyBorder="1" applyAlignment="1">
      <alignment horizontal="right" vertical="center"/>
    </xf>
    <xf numFmtId="165" fontId="20" fillId="0" borderId="0" xfId="1" applyNumberFormat="1" applyFont="1" applyAlignment="1">
      <alignment horizontal="right"/>
    </xf>
    <xf numFmtId="166" fontId="20" fillId="0" borderId="0" xfId="2" applyFont="1" applyAlignment="1">
      <alignment horizontal="right"/>
    </xf>
    <xf numFmtId="166" fontId="14" fillId="0" borderId="0" xfId="2" applyFont="1" applyAlignment="1">
      <alignment horizontal="right" vertical="center"/>
    </xf>
    <xf numFmtId="166" fontId="8" fillId="0" borderId="0" xfId="2" applyFont="1" applyAlignment="1">
      <alignment horizontal="right"/>
    </xf>
    <xf numFmtId="166" fontId="11" fillId="0" borderId="0" xfId="4" applyFont="1" applyAlignment="1">
      <alignment horizontal="center" vertical="center"/>
    </xf>
    <xf numFmtId="3" fontId="16" fillId="0" borderId="2" xfId="2" applyNumberFormat="1" applyFont="1" applyBorder="1" applyAlignment="1">
      <alignment horizontal="center" vertical="center" wrapText="1"/>
    </xf>
    <xf numFmtId="166" fontId="14" fillId="0" borderId="0" xfId="2" applyFont="1" applyAlignment="1">
      <alignment horizontal="right"/>
    </xf>
    <xf numFmtId="4" fontId="12" fillId="2" borderId="2" xfId="2" applyNumberFormat="1" applyFont="1" applyFill="1" applyBorder="1" applyAlignment="1">
      <alignment horizontal="right" vertical="center"/>
    </xf>
    <xf numFmtId="4" fontId="14" fillId="2" borderId="2" xfId="2" applyNumberFormat="1" applyFont="1" applyFill="1" applyBorder="1" applyAlignment="1">
      <alignment horizontal="center" vertical="center"/>
    </xf>
    <xf numFmtId="164" fontId="16" fillId="0" borderId="2" xfId="1" applyNumberFormat="1" applyFont="1" applyBorder="1" applyAlignment="1">
      <alignment horizontal="right" vertical="center"/>
    </xf>
    <xf numFmtId="3" fontId="14" fillId="2" borderId="2" xfId="2" applyNumberFormat="1" applyFont="1" applyFill="1" applyBorder="1" applyAlignment="1">
      <alignment horizontal="center" vertical="center" wrapText="1"/>
    </xf>
    <xf numFmtId="166" fontId="16" fillId="4" borderId="2" xfId="3" applyFont="1" applyFill="1" applyBorder="1" applyAlignment="1">
      <alignment horizontal="center" vertical="center" wrapText="1"/>
    </xf>
    <xf numFmtId="166" fontId="16" fillId="0" borderId="0" xfId="4" applyFont="1" applyAlignment="1">
      <alignment horizontal="left" vertical="center"/>
    </xf>
    <xf numFmtId="166" fontId="19" fillId="0" borderId="0" xfId="2" applyFont="1" applyAlignment="1">
      <alignment horizontal="center" vertical="center"/>
    </xf>
    <xf numFmtId="166" fontId="16" fillId="0" borderId="0" xfId="4" quotePrefix="1" applyFont="1" applyAlignment="1">
      <alignment horizontal="left" vertical="center"/>
    </xf>
    <xf numFmtId="3" fontId="24" fillId="7" borderId="2" xfId="2" applyNumberFormat="1" applyFont="1" applyFill="1" applyBorder="1" applyAlignment="1">
      <alignment horizontal="right" vertical="center" wrapText="1"/>
    </xf>
    <xf numFmtId="3" fontId="24" fillId="7" borderId="2" xfId="2" applyNumberFormat="1" applyFont="1" applyFill="1" applyBorder="1" applyAlignment="1">
      <alignment horizontal="left" vertical="center" wrapText="1"/>
    </xf>
    <xf numFmtId="166" fontId="19" fillId="10" borderId="2" xfId="2" applyFont="1" applyFill="1" applyBorder="1" applyAlignment="1">
      <alignment horizontal="center" vertical="center" wrapText="1"/>
    </xf>
    <xf numFmtId="4" fontId="19" fillId="10" borderId="2" xfId="2" applyNumberFormat="1" applyFont="1" applyFill="1" applyBorder="1" applyAlignment="1">
      <alignment horizontal="center" vertical="center" wrapText="1"/>
    </xf>
    <xf numFmtId="0" fontId="25" fillId="11" borderId="0" xfId="4" applyNumberFormat="1" applyFont="1" applyFill="1" applyAlignment="1">
      <alignment horizontal="left"/>
    </xf>
    <xf numFmtId="3" fontId="16" fillId="11" borderId="0" xfId="2" applyNumberFormat="1" applyFont="1" applyFill="1" applyAlignment="1">
      <alignment horizontal="right" vertical="center" wrapText="1"/>
    </xf>
    <xf numFmtId="166" fontId="16" fillId="11" borderId="2" xfId="4" applyFont="1" applyFill="1" applyBorder="1" applyAlignment="1">
      <alignment horizontal="left" vertical="center"/>
    </xf>
    <xf numFmtId="14" fontId="16" fillId="11" borderId="2" xfId="4" applyNumberFormat="1" applyFont="1" applyFill="1" applyBorder="1" applyAlignment="1">
      <alignment horizontal="left" vertical="center"/>
    </xf>
    <xf numFmtId="3" fontId="12" fillId="2" borderId="2" xfId="2" applyNumberFormat="1" applyFont="1" applyFill="1" applyBorder="1" applyAlignment="1">
      <alignment horizontal="center" vertical="center"/>
    </xf>
    <xf numFmtId="165" fontId="19" fillId="7" borderId="2" xfId="1" applyNumberFormat="1" applyFont="1" applyFill="1" applyBorder="1" applyAlignment="1">
      <alignment vertical="center"/>
    </xf>
    <xf numFmtId="166" fontId="16" fillId="0" borderId="0" xfId="4" quotePrefix="1" applyFont="1" applyAlignment="1">
      <alignment horizontal="right" vertical="center"/>
    </xf>
    <xf numFmtId="166" fontId="16" fillId="0" borderId="0" xfId="4" quotePrefix="1" applyFont="1" applyAlignment="1">
      <alignment horizontal="center" vertical="center"/>
    </xf>
    <xf numFmtId="3" fontId="16" fillId="0" borderId="0" xfId="4" applyNumberFormat="1" applyFont="1" applyAlignment="1">
      <alignment vertical="center"/>
    </xf>
    <xf numFmtId="3" fontId="16" fillId="0" borderId="0" xfId="4" applyNumberFormat="1" applyFont="1" applyAlignment="1">
      <alignment horizontal="center" vertical="center"/>
    </xf>
    <xf numFmtId="166" fontId="19" fillId="0" borderId="0" xfId="4" quotePrefix="1" applyFont="1" applyAlignment="1">
      <alignment horizontal="center" vertical="center"/>
    </xf>
    <xf numFmtId="3" fontId="19" fillId="0" borderId="0" xfId="4" applyNumberFormat="1" applyFont="1" applyAlignment="1">
      <alignment vertical="center"/>
    </xf>
    <xf numFmtId="166" fontId="19" fillId="13" borderId="2" xfId="0" applyFont="1" applyFill="1" applyBorder="1" applyAlignment="1">
      <alignment vertical="center"/>
    </xf>
    <xf numFmtId="166" fontId="28" fillId="13" borderId="2" xfId="0" applyFont="1" applyFill="1" applyBorder="1" applyAlignment="1">
      <alignment vertical="center"/>
    </xf>
    <xf numFmtId="3" fontId="28" fillId="13" borderId="2" xfId="0" applyNumberFormat="1" applyFont="1" applyFill="1" applyBorder="1" applyAlignment="1">
      <alignment vertical="center"/>
    </xf>
    <xf numFmtId="166" fontId="16" fillId="2" borderId="0" xfId="4" quotePrefix="1" applyFont="1" applyFill="1" applyAlignment="1">
      <alignment horizontal="right" vertical="center"/>
    </xf>
    <xf numFmtId="166" fontId="29" fillId="2" borderId="0" xfId="2" applyFont="1" applyFill="1" applyAlignment="1">
      <alignment vertical="center" wrapText="1"/>
    </xf>
    <xf numFmtId="3" fontId="19" fillId="2" borderId="0" xfId="4" applyNumberFormat="1" applyFont="1" applyFill="1" applyAlignment="1">
      <alignment horizontal="center" vertical="center"/>
    </xf>
    <xf numFmtId="3" fontId="19" fillId="2" borderId="2" xfId="4" applyNumberFormat="1" applyFont="1" applyFill="1" applyBorder="1" applyAlignment="1">
      <alignment vertical="center"/>
    </xf>
    <xf numFmtId="166" fontId="16" fillId="11" borderId="0" xfId="4" applyFont="1" applyFill="1" applyAlignment="1">
      <alignment vertical="center" wrapText="1"/>
    </xf>
    <xf numFmtId="164" fontId="41" fillId="2" borderId="2" xfId="8" applyNumberFormat="1" applyFill="1" applyBorder="1" applyAlignment="1">
      <alignment horizontal="center" vertical="center" wrapText="1"/>
    </xf>
    <xf numFmtId="166" fontId="34" fillId="4" borderId="0" xfId="2" applyFont="1" applyFill="1" applyAlignment="1">
      <alignment horizontal="left" vertical="center" wrapText="1"/>
    </xf>
    <xf numFmtId="3" fontId="26" fillId="12" borderId="2" xfId="2" applyNumberFormat="1" applyFont="1" applyFill="1" applyBorder="1" applyAlignment="1">
      <alignment horizontal="center" vertical="center" wrapText="1"/>
    </xf>
    <xf numFmtId="166" fontId="23" fillId="8" borderId="2" xfId="2" applyFont="1" applyFill="1" applyBorder="1" applyAlignment="1">
      <alignment horizontal="center" vertical="center" wrapText="1"/>
    </xf>
    <xf numFmtId="166" fontId="28" fillId="13" borderId="3" xfId="0" applyFont="1" applyFill="1" applyBorder="1" applyAlignment="1">
      <alignment horizontal="center" vertical="center"/>
    </xf>
    <xf numFmtId="166" fontId="28" fillId="13" borderId="4" xfId="0" applyFont="1" applyFill="1" applyBorder="1" applyAlignment="1">
      <alignment horizontal="center" vertical="center"/>
    </xf>
    <xf numFmtId="166" fontId="24" fillId="7" borderId="2" xfId="2" applyFont="1" applyFill="1" applyBorder="1" applyAlignment="1">
      <alignment horizontal="center" vertical="center" wrapText="1"/>
    </xf>
    <xf numFmtId="165" fontId="19" fillId="14" borderId="3" xfId="1" applyNumberFormat="1" applyFont="1" applyFill="1" applyBorder="1" applyAlignment="1">
      <alignment horizontal="center" vertical="center"/>
    </xf>
    <xf numFmtId="165" fontId="19" fillId="14" borderId="5" xfId="1" applyNumberFormat="1" applyFont="1" applyFill="1" applyBorder="1" applyAlignment="1">
      <alignment horizontal="center" vertical="center"/>
    </xf>
    <xf numFmtId="166" fontId="19" fillId="15" borderId="3" xfId="0" applyFont="1" applyFill="1" applyBorder="1" applyAlignment="1">
      <alignment horizontal="center" vertical="center"/>
    </xf>
    <xf numFmtId="166" fontId="19" fillId="15" borderId="5" xfId="0" applyFont="1" applyFill="1" applyBorder="1" applyAlignment="1">
      <alignment horizontal="center" vertical="center"/>
    </xf>
    <xf numFmtId="164" fontId="12" fillId="0" borderId="0" xfId="1" applyNumberFormat="1" applyFont="1" applyAlignment="1">
      <alignment horizontal="center"/>
    </xf>
    <xf numFmtId="166" fontId="12" fillId="0" borderId="0" xfId="2" applyFont="1" applyAlignment="1">
      <alignment horizontal="center"/>
    </xf>
    <xf numFmtId="3" fontId="19" fillId="2" borderId="0" xfId="4" applyNumberFormat="1" applyFont="1" applyFill="1" applyAlignment="1">
      <alignment horizontal="center" vertical="center"/>
    </xf>
    <xf numFmtId="166" fontId="16" fillId="9" borderId="0" xfId="0" applyFont="1" applyFill="1" applyAlignment="1">
      <alignment horizontal="right" vertical="center"/>
    </xf>
    <xf numFmtId="166" fontId="16" fillId="9" borderId="7" xfId="0" applyFont="1" applyFill="1" applyBorder="1" applyAlignment="1">
      <alignment horizontal="right" vertical="center"/>
    </xf>
    <xf numFmtId="166" fontId="23" fillId="13" borderId="0" xfId="0" applyFont="1" applyFill="1" applyAlignment="1">
      <alignment horizontal="right" vertical="center"/>
    </xf>
    <xf numFmtId="166" fontId="23" fillId="13" borderId="7" xfId="0" applyFont="1" applyFill="1" applyBorder="1" applyAlignment="1">
      <alignment horizontal="right" vertical="center"/>
    </xf>
    <xf numFmtId="166" fontId="16" fillId="8" borderId="0" xfId="0" applyFont="1" applyFill="1" applyAlignment="1">
      <alignment horizontal="right" vertical="center"/>
    </xf>
    <xf numFmtId="166" fontId="16" fillId="8" borderId="7" xfId="0" applyFont="1" applyFill="1" applyBorder="1" applyAlignment="1">
      <alignment horizontal="right" vertical="center"/>
    </xf>
    <xf numFmtId="166" fontId="14" fillId="0" borderId="0" xfId="2" applyFont="1" applyAlignment="1">
      <alignment horizontal="left" vertical="center"/>
    </xf>
    <xf numFmtId="166" fontId="16" fillId="0" borderId="0" xfId="2" applyFont="1" applyAlignment="1">
      <alignment horizontal="center" vertical="center"/>
    </xf>
    <xf numFmtId="166" fontId="17" fillId="0" borderId="1" xfId="4" applyFont="1" applyBorder="1" applyAlignment="1">
      <alignment horizontal="left"/>
    </xf>
    <xf numFmtId="166" fontId="16" fillId="0" borderId="2" xfId="2" applyFont="1" applyBorder="1" applyAlignment="1">
      <alignment horizontal="center" vertical="center" wrapText="1"/>
    </xf>
    <xf numFmtId="166" fontId="14" fillId="0" borderId="0" xfId="2" applyFont="1" applyAlignment="1">
      <alignment horizontal="center" vertical="center"/>
    </xf>
    <xf numFmtId="164" fontId="14" fillId="0" borderId="0" xfId="2" applyNumberFormat="1" applyFont="1" applyAlignment="1">
      <alignment horizontal="center" vertical="center"/>
    </xf>
    <xf numFmtId="166" fontId="16" fillId="0" borderId="0" xfId="4" applyFont="1" applyAlignment="1">
      <alignment horizontal="center" vertical="center"/>
    </xf>
    <xf numFmtId="3" fontId="16" fillId="5" borderId="2" xfId="2" applyNumberFormat="1" applyFont="1" applyFill="1" applyBorder="1" applyAlignment="1">
      <alignment horizontal="center" vertical="center" wrapText="1"/>
    </xf>
    <xf numFmtId="166" fontId="26" fillId="2" borderId="1" xfId="2" applyFont="1" applyFill="1" applyBorder="1" applyAlignment="1">
      <alignment horizontal="right" vertical="center" wrapText="1"/>
    </xf>
    <xf numFmtId="166" fontId="26" fillId="2" borderId="6" xfId="2" applyFont="1" applyFill="1" applyBorder="1" applyAlignment="1">
      <alignment horizontal="right" vertical="center" wrapText="1"/>
    </xf>
    <xf numFmtId="164" fontId="14" fillId="0" borderId="0" xfId="2" applyNumberFormat="1" applyFont="1" applyAlignment="1">
      <alignment horizontal="center" wrapText="1"/>
    </xf>
    <xf numFmtId="166" fontId="13" fillId="0" borderId="0" xfId="2" applyFont="1" applyAlignment="1">
      <alignment horizontal="center"/>
    </xf>
    <xf numFmtId="166" fontId="36" fillId="2" borderId="0" xfId="3" applyFont="1" applyFill="1" applyAlignment="1">
      <alignment horizontal="center" vertical="center" wrapText="1"/>
    </xf>
    <xf numFmtId="166" fontId="21" fillId="3" borderId="2" xfId="3" applyFont="1" applyFill="1" applyBorder="1" applyAlignment="1">
      <alignment horizontal="center" vertical="center" wrapText="1"/>
    </xf>
    <xf numFmtId="166" fontId="37" fillId="0" borderId="0" xfId="2" applyFont="1" applyAlignment="1">
      <alignment horizontal="left" vertical="center" wrapText="1"/>
    </xf>
    <xf numFmtId="166" fontId="23" fillId="9" borderId="2" xfId="2" applyFont="1" applyFill="1" applyBorder="1" applyAlignment="1">
      <alignment horizontal="center" vertical="center" wrapText="1"/>
    </xf>
    <xf numFmtId="166" fontId="16" fillId="11" borderId="2" xfId="4" applyFont="1" applyFill="1" applyBorder="1" applyAlignment="1">
      <alignment horizontal="center" vertical="center"/>
    </xf>
    <xf numFmtId="14" fontId="16" fillId="11" borderId="2" xfId="4" applyNumberFormat="1" applyFont="1" applyFill="1" applyBorder="1" applyAlignment="1">
      <alignment horizontal="center" vertical="center"/>
    </xf>
    <xf numFmtId="166" fontId="22" fillId="6" borderId="1" xfId="4" applyFont="1" applyFill="1" applyBorder="1" applyAlignment="1">
      <alignment horizontal="right"/>
    </xf>
  </cellXfs>
  <cellStyles count="9">
    <cellStyle name="Comma" xfId="1" builtinId="3"/>
    <cellStyle name="Hyperlink" xfId="8" builtinId="8"/>
    <cellStyle name="Normal" xfId="0" builtinId="0"/>
    <cellStyle name="Normal 11 2" xfId="3" xr:uid="{00000000-0005-0000-0000-000002000000}"/>
    <cellStyle name="Normal 2" xfId="5" xr:uid="{00000000-0005-0000-0000-000003000000}"/>
    <cellStyle name="Normal 4" xfId="2" xr:uid="{00000000-0005-0000-0000-000004000000}"/>
    <cellStyle name="Normal 8" xfId="6" xr:uid="{00000000-0005-0000-0000-000005000000}"/>
    <cellStyle name="Normal_Sheet1" xfId="4" xr:uid="{00000000-0005-0000-0000-000006000000}"/>
    <cellStyle name="Percent" xfId="7" builtinId="5"/>
  </cellStyles>
  <dxfs count="0"/>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54428</xdr:rowOff>
    </xdr:from>
    <xdr:to>
      <xdr:col>5</xdr:col>
      <xdr:colOff>1506681</xdr:colOff>
      <xdr:row>2</xdr:row>
      <xdr:rowOff>778328</xdr:rowOff>
    </xdr:to>
    <xdr:pic>
      <xdr:nvPicPr>
        <xdr:cNvPr id="2" name="Picture 1">
          <a:extLst>
            <a:ext uri="{FF2B5EF4-FFF2-40B4-BE49-F238E27FC236}">
              <a16:creationId xmlns:a16="http://schemas.microsoft.com/office/drawing/2014/main" id="{9E5E8B6B-D55C-4E91-8B48-BADF492BE042}"/>
            </a:ext>
          </a:extLst>
        </xdr:cNvPr>
        <xdr:cNvPicPr>
          <a:picLocks noChangeAspect="1"/>
        </xdr:cNvPicPr>
      </xdr:nvPicPr>
      <xdr:blipFill>
        <a:blip xmlns:r="http://schemas.openxmlformats.org/officeDocument/2006/relationships" r:embed="rId1"/>
        <a:stretch>
          <a:fillRect/>
        </a:stretch>
      </xdr:blipFill>
      <xdr:spPr>
        <a:xfrm>
          <a:off x="1" y="54428"/>
          <a:ext cx="9473044" cy="26808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shopee.vn/20-N%C3%BAt-%C4%91%E1%BB%87m-cao-su-3M-SJ5312-(N%C3%BAt-d%E1%BA%B9t)-V%C3%A0-30-N%C3%BAt-3MSJ5302-(N%C3%BAt-V%C3%B2m-Nh%E1%BB%8F)-i.50663522.7926817811?sp_atk=12653609-96c4-49c5-ad3a-5eb6b2bceb18&amp;xptdk=12653609-96c4-49c5-ad3a-5eb6b2bceb18"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V41"/>
  <sheetViews>
    <sheetView tabSelected="1" view="pageBreakPreview" topLeftCell="A8" zoomScale="60" zoomScaleNormal="70" workbookViewId="0">
      <selection activeCell="S9" sqref="S9"/>
    </sheetView>
  </sheetViews>
  <sheetFormatPr defaultColWidth="8.44140625" defaultRowHeight="46.2"/>
  <cols>
    <col min="1" max="1" width="12.88671875" style="6" customWidth="1"/>
    <col min="2" max="2" width="26.6640625" style="6" customWidth="1"/>
    <col min="3" max="3" width="52.33203125" style="2" customWidth="1"/>
    <col min="4" max="4" width="14.6640625" style="7" customWidth="1"/>
    <col min="5" max="5" width="12.6640625" style="6" customWidth="1"/>
    <col min="6" max="6" width="23.33203125" style="5" customWidth="1"/>
    <col min="7" max="7" width="19.5546875" style="11" customWidth="1"/>
    <col min="8" max="8" width="23.33203125" style="2" customWidth="1"/>
    <col min="9" max="9" width="3.88671875" style="2" customWidth="1"/>
    <col min="10" max="10" width="24.5546875" style="4" customWidth="1"/>
    <col min="11" max="11" width="14" style="2" customWidth="1"/>
    <col min="12" max="12" width="23.33203125" style="2" customWidth="1"/>
    <col min="13" max="13" width="11.88671875" style="6" customWidth="1"/>
    <col min="14" max="14" width="19.44140625" style="6" customWidth="1"/>
    <col min="15" max="15" width="26.44140625" style="2" customWidth="1"/>
    <col min="16" max="16" width="15" style="6" customWidth="1"/>
    <col min="17" max="18" width="21.88671875" style="4" customWidth="1"/>
    <col min="19" max="19" width="30.88671875" style="3" customWidth="1"/>
    <col min="20" max="20" width="27" style="80" customWidth="1"/>
    <col min="21" max="16384" width="8.44140625" style="2"/>
  </cols>
  <sheetData>
    <row r="1" spans="1:20" ht="98.7" customHeight="1">
      <c r="A1" s="1"/>
      <c r="B1" s="1"/>
      <c r="C1" s="1"/>
      <c r="E1" s="72"/>
      <c r="F1" s="14"/>
      <c r="G1" s="155" t="s">
        <v>0</v>
      </c>
      <c r="H1" s="155"/>
      <c r="I1" s="155"/>
      <c r="J1" s="155"/>
      <c r="K1" s="155"/>
      <c r="L1" s="155"/>
      <c r="M1" s="155"/>
      <c r="N1" s="155"/>
      <c r="O1" s="155"/>
      <c r="P1" s="155"/>
      <c r="Q1" s="155"/>
      <c r="R1" s="155"/>
      <c r="S1" s="155"/>
      <c r="T1" s="155"/>
    </row>
    <row r="2" spans="1:20" ht="55.95" customHeight="1">
      <c r="A2" s="1"/>
      <c r="B2" s="1"/>
      <c r="C2" s="1"/>
      <c r="E2" s="13"/>
      <c r="F2" s="12"/>
      <c r="G2" s="157" t="s">
        <v>46</v>
      </c>
      <c r="H2" s="157"/>
      <c r="I2" s="157"/>
      <c r="J2" s="157"/>
      <c r="K2" s="157"/>
      <c r="L2" s="157"/>
      <c r="M2" s="157"/>
      <c r="N2" s="157"/>
      <c r="O2" s="157"/>
      <c r="P2" s="157"/>
      <c r="Q2" s="157"/>
      <c r="R2" s="157"/>
      <c r="S2" s="157"/>
      <c r="T2" s="157"/>
    </row>
    <row r="3" spans="1:20" ht="64.5" customHeight="1">
      <c r="A3" s="1"/>
      <c r="B3" s="1"/>
      <c r="C3" s="1"/>
      <c r="E3" s="13"/>
      <c r="F3" s="12"/>
      <c r="G3" s="157" t="s">
        <v>1</v>
      </c>
      <c r="H3" s="157"/>
      <c r="I3" s="157"/>
      <c r="J3" s="157"/>
      <c r="K3" s="157"/>
      <c r="L3" s="157"/>
      <c r="M3" s="157"/>
      <c r="N3" s="157"/>
      <c r="O3" s="157"/>
      <c r="P3" s="157"/>
      <c r="Q3" s="157"/>
      <c r="R3" s="157"/>
      <c r="S3" s="157"/>
      <c r="T3" s="157"/>
    </row>
    <row r="4" spans="1:20" ht="67.5" customHeight="1">
      <c r="A4" s="156" t="s">
        <v>33</v>
      </c>
      <c r="B4" s="156"/>
      <c r="C4" s="156"/>
      <c r="D4" s="156"/>
      <c r="E4" s="156"/>
      <c r="F4" s="156"/>
      <c r="G4" s="156"/>
      <c r="H4" s="156"/>
      <c r="I4" s="156"/>
      <c r="J4" s="156"/>
      <c r="K4" s="156"/>
      <c r="L4" s="156"/>
      <c r="M4" s="156"/>
      <c r="N4" s="156"/>
      <c r="O4" s="156"/>
      <c r="P4" s="156"/>
      <c r="Q4" s="156"/>
      <c r="R4" s="156"/>
      <c r="S4" s="156"/>
      <c r="T4" s="156"/>
    </row>
    <row r="5" spans="1:20" s="4" customFormat="1">
      <c r="A5" s="15" t="s">
        <v>2</v>
      </c>
      <c r="B5" s="15"/>
      <c r="C5" s="15"/>
      <c r="D5" s="15"/>
      <c r="E5" s="161" t="s">
        <v>51</v>
      </c>
      <c r="F5" s="161"/>
      <c r="G5" s="161"/>
      <c r="H5" s="103"/>
      <c r="I5" s="49"/>
      <c r="K5" s="145" t="s">
        <v>50</v>
      </c>
      <c r="L5" s="145"/>
      <c r="M5" s="145"/>
      <c r="N5" s="145"/>
      <c r="O5" s="50"/>
      <c r="P5" s="88"/>
      <c r="Q5" s="18"/>
      <c r="R5" s="18"/>
      <c r="S5" s="17"/>
      <c r="T5" s="75"/>
    </row>
    <row r="6" spans="1:20" ht="39" customHeight="1">
      <c r="A6" s="51" t="s">
        <v>18</v>
      </c>
      <c r="B6" s="51"/>
      <c r="C6" s="51" t="s">
        <v>57</v>
      </c>
      <c r="D6" s="51"/>
      <c r="E6" s="51"/>
      <c r="F6" s="51"/>
      <c r="G6" s="48" t="s">
        <v>42</v>
      </c>
      <c r="I6" s="51"/>
      <c r="J6" s="81"/>
      <c r="K6" s="51"/>
      <c r="L6" s="51"/>
      <c r="M6" s="67"/>
      <c r="N6" s="51"/>
      <c r="O6" s="51"/>
      <c r="P6" s="67"/>
      <c r="Q6" s="81"/>
      <c r="R6" s="81"/>
      <c r="S6" s="51"/>
      <c r="T6" s="67"/>
    </row>
    <row r="7" spans="1:20" ht="39" customHeight="1">
      <c r="A7" s="51" t="s">
        <v>21</v>
      </c>
      <c r="B7" s="51"/>
      <c r="C7" s="51" t="s">
        <v>36</v>
      </c>
      <c r="D7" s="51"/>
      <c r="E7" s="51"/>
      <c r="F7" s="51"/>
      <c r="G7" s="51"/>
      <c r="H7" s="51"/>
      <c r="I7" s="51"/>
      <c r="J7" s="51"/>
      <c r="K7" s="51"/>
      <c r="L7" s="51"/>
      <c r="M7" s="51"/>
      <c r="N7" s="51"/>
      <c r="O7" s="51"/>
      <c r="P7" s="51"/>
      <c r="Q7" s="51"/>
      <c r="R7" s="51"/>
      <c r="S7" s="51"/>
      <c r="T7" s="51"/>
    </row>
    <row r="8" spans="1:20" ht="39" customHeight="1">
      <c r="A8" s="51" t="s">
        <v>20</v>
      </c>
      <c r="B8" s="51"/>
      <c r="C8" s="51" t="s">
        <v>56</v>
      </c>
      <c r="D8" s="51"/>
      <c r="E8" s="51"/>
      <c r="F8" s="51"/>
      <c r="G8" s="51"/>
      <c r="H8" s="51"/>
      <c r="I8" s="51"/>
      <c r="J8" s="51"/>
      <c r="K8" s="51"/>
      <c r="L8" s="51"/>
      <c r="M8" s="51"/>
      <c r="N8" s="51"/>
      <c r="O8" s="51"/>
      <c r="P8" s="51"/>
      <c r="Q8" s="51"/>
      <c r="R8" s="51"/>
      <c r="S8" s="51"/>
      <c r="T8" s="51"/>
    </row>
    <row r="9" spans="1:20" ht="39" customHeight="1">
      <c r="A9" s="51" t="s">
        <v>32</v>
      </c>
      <c r="B9" s="51"/>
      <c r="C9" s="122" t="s">
        <v>58</v>
      </c>
      <c r="D9" s="51"/>
      <c r="E9" s="51"/>
      <c r="F9" s="51"/>
      <c r="G9" s="51"/>
      <c r="H9" s="51"/>
      <c r="I9" s="51"/>
      <c r="J9" s="51"/>
      <c r="K9" s="51"/>
      <c r="L9" s="51"/>
      <c r="M9" s="51"/>
      <c r="N9" s="51"/>
      <c r="O9" s="51"/>
      <c r="P9" s="51"/>
      <c r="Q9" s="51"/>
      <c r="R9" s="51"/>
      <c r="S9" s="51"/>
      <c r="T9" s="51"/>
    </row>
    <row r="10" spans="1:20" ht="39" customHeight="1">
      <c r="A10" s="105" t="s">
        <v>40</v>
      </c>
      <c r="B10" s="105"/>
      <c r="C10" s="106" t="s">
        <v>52</v>
      </c>
      <c r="D10" s="159" t="s">
        <v>41</v>
      </c>
      <c r="E10" s="159"/>
      <c r="F10" s="159"/>
      <c r="G10" s="160" t="s">
        <v>53</v>
      </c>
      <c r="H10" s="160"/>
      <c r="I10" s="96"/>
      <c r="J10" s="96"/>
      <c r="K10" s="96"/>
      <c r="L10" s="96"/>
      <c r="M10" s="96"/>
      <c r="N10" s="96"/>
      <c r="O10" s="96"/>
      <c r="P10" s="96"/>
      <c r="Q10" s="96"/>
      <c r="R10" s="96"/>
      <c r="S10" s="96"/>
      <c r="T10" s="96"/>
    </row>
    <row r="11" spans="1:20" ht="113.4" customHeight="1">
      <c r="A11" s="44" t="s">
        <v>3</v>
      </c>
      <c r="B11" s="95" t="s">
        <v>31</v>
      </c>
      <c r="C11" s="44" t="s">
        <v>10</v>
      </c>
      <c r="D11" s="44" t="s">
        <v>4</v>
      </c>
      <c r="E11" s="44" t="s">
        <v>14</v>
      </c>
      <c r="F11" s="45" t="s">
        <v>29</v>
      </c>
      <c r="G11" s="45" t="s">
        <v>15</v>
      </c>
      <c r="H11" s="44" t="s">
        <v>5</v>
      </c>
      <c r="I11" s="46"/>
      <c r="J11" s="44" t="s">
        <v>13</v>
      </c>
      <c r="K11" s="44" t="s">
        <v>11</v>
      </c>
      <c r="L11" s="44" t="s">
        <v>12</v>
      </c>
      <c r="M11" s="44" t="s">
        <v>16</v>
      </c>
      <c r="N11" s="44" t="s">
        <v>17</v>
      </c>
      <c r="O11" s="44" t="s">
        <v>5</v>
      </c>
      <c r="P11" s="44" t="s">
        <v>19</v>
      </c>
      <c r="Q11" s="45" t="s">
        <v>26</v>
      </c>
      <c r="R11" s="45" t="s">
        <v>27</v>
      </c>
      <c r="S11" s="47" t="s">
        <v>9</v>
      </c>
      <c r="T11" s="95" t="s">
        <v>25</v>
      </c>
    </row>
    <row r="12" spans="1:20" s="74" customFormat="1" ht="53.25" customHeight="1">
      <c r="A12" s="19">
        <v>1</v>
      </c>
      <c r="B12" s="94" t="s">
        <v>58</v>
      </c>
      <c r="C12" s="20" t="s">
        <v>59</v>
      </c>
      <c r="D12" s="21" t="s">
        <v>60</v>
      </c>
      <c r="E12" s="107" t="s">
        <v>61</v>
      </c>
      <c r="F12" s="22" t="s">
        <v>62</v>
      </c>
      <c r="G12" s="23">
        <v>0.08</v>
      </c>
      <c r="H12" s="24" t="e">
        <f>(F12*E12)+(F12*E12*G12)</f>
        <v>#VALUE!</v>
      </c>
      <c r="I12" s="24"/>
      <c r="J12" s="91" t="s">
        <v>63</v>
      </c>
      <c r="K12" s="22"/>
      <c r="L12" s="22" t="s">
        <v>63</v>
      </c>
      <c r="M12" s="107">
        <v>5</v>
      </c>
      <c r="N12" s="23">
        <v>0</v>
      </c>
      <c r="O12" s="25" t="e">
        <f>(L12*M12)+(L12*M12*N12)</f>
        <v>#VALUE!</v>
      </c>
      <c r="P12" s="92"/>
      <c r="Q12" s="82"/>
      <c r="R12" s="83" t="s">
        <v>64</v>
      </c>
      <c r="S12" s="123" t="s">
        <v>54</v>
      </c>
      <c r="T12" s="76" t="s">
        <v>30</v>
      </c>
    </row>
    <row r="13" spans="1:20" s="1" customFormat="1" ht="56.4" customHeight="1">
      <c r="A13" s="52"/>
      <c r="B13" s="146" t="s">
        <v>23</v>
      </c>
      <c r="C13" s="146"/>
      <c r="D13" s="146"/>
      <c r="E13" s="150">
        <f>SUMPRODUCT(E12:E12,F12:F12)</f>
        <v>0</v>
      </c>
      <c r="F13" s="150"/>
      <c r="G13" s="73">
        <f>SUMPRODUCT(E12:E12,F12:F12,G12:G12)</f>
        <v>0</v>
      </c>
      <c r="H13" s="53" t="e">
        <f>SUM(H12:H12)</f>
        <v>#VALUE!</v>
      </c>
      <c r="I13" s="54"/>
      <c r="J13" s="146" t="s">
        <v>24</v>
      </c>
      <c r="K13" s="146"/>
      <c r="L13" s="150">
        <f>SUMPRODUCT(L12:L12,M12:M12)</f>
        <v>0</v>
      </c>
      <c r="M13" s="150"/>
      <c r="N13" s="73">
        <f>SUMPRODUCT(L12:L12,M12:M12,N12:N12)</f>
        <v>0</v>
      </c>
      <c r="O13" s="54" t="e">
        <f>SUM(O12:O12)</f>
        <v>#VALUE!</v>
      </c>
      <c r="P13" s="89"/>
      <c r="Q13" s="93">
        <f>SUM(Q12:Q12)</f>
        <v>0</v>
      </c>
      <c r="R13" s="93">
        <f>SUM(R12:R12)</f>
        <v>0</v>
      </c>
      <c r="S13" s="55" t="e">
        <f>O13+Q13+R13</f>
        <v>#VALUE!</v>
      </c>
      <c r="T13" s="77"/>
    </row>
    <row r="14" spans="1:20" ht="46.5" customHeight="1">
      <c r="A14" s="56"/>
      <c r="B14" s="56"/>
      <c r="C14" s="151"/>
      <c r="D14" s="152"/>
      <c r="E14" s="125" t="e">
        <f>SUMIF(N12:N12,"0",H12:H12)</f>
        <v>#VALUE!</v>
      </c>
      <c r="F14" s="125"/>
      <c r="G14" s="101" t="s">
        <v>28</v>
      </c>
      <c r="H14" s="102" t="e">
        <f>S13/H13</f>
        <v>#VALUE!</v>
      </c>
      <c r="I14" s="104"/>
      <c r="J14" s="126" t="s">
        <v>34</v>
      </c>
      <c r="K14" s="126"/>
      <c r="L14" s="126"/>
      <c r="M14" s="127" t="s">
        <v>30</v>
      </c>
      <c r="N14" s="128"/>
      <c r="O14" s="117" t="e">
        <f>O13+Q13</f>
        <v>#VALUE!</v>
      </c>
      <c r="P14" s="116" t="s">
        <v>22</v>
      </c>
      <c r="Q14" s="132" t="s">
        <v>39</v>
      </c>
      <c r="R14" s="133"/>
      <c r="S14" s="115"/>
      <c r="T14" s="116" t="s">
        <v>22</v>
      </c>
    </row>
    <row r="15" spans="1:20" ht="46.5" customHeight="1">
      <c r="A15" s="56"/>
      <c r="B15" s="56"/>
      <c r="C15" s="57"/>
      <c r="D15" s="57"/>
      <c r="E15" s="57"/>
      <c r="F15" s="57"/>
      <c r="G15" s="57"/>
      <c r="H15" s="59"/>
      <c r="I15" s="104"/>
      <c r="J15" s="126"/>
      <c r="K15" s="126"/>
      <c r="L15" s="126"/>
      <c r="M15" s="129" t="s">
        <v>37</v>
      </c>
      <c r="N15" s="129"/>
      <c r="O15" s="99"/>
      <c r="P15" s="100" t="s">
        <v>22</v>
      </c>
      <c r="Q15" s="130" t="s">
        <v>43</v>
      </c>
      <c r="R15" s="131"/>
      <c r="S15" s="108"/>
      <c r="T15" s="100" t="s">
        <v>22</v>
      </c>
    </row>
    <row r="16" spans="1:20" ht="46.5" customHeight="1">
      <c r="A16" s="56"/>
      <c r="B16" s="56"/>
      <c r="C16" s="57"/>
      <c r="D16" s="57"/>
      <c r="E16" s="57"/>
      <c r="F16" s="57"/>
      <c r="G16" s="58"/>
      <c r="H16" s="59"/>
      <c r="I16" s="104"/>
      <c r="J16" s="158" t="s">
        <v>35</v>
      </c>
      <c r="K16" s="158"/>
      <c r="L16" s="158"/>
      <c r="M16" s="127" t="s">
        <v>30</v>
      </c>
      <c r="N16" s="128"/>
      <c r="O16" s="117"/>
      <c r="P16" s="116" t="s">
        <v>22</v>
      </c>
      <c r="Q16" s="132" t="s">
        <v>39</v>
      </c>
      <c r="R16" s="133"/>
      <c r="S16" s="115"/>
      <c r="T16" s="116" t="s">
        <v>22</v>
      </c>
    </row>
    <row r="17" spans="1:22" ht="46.5" customHeight="1">
      <c r="A17" s="56"/>
      <c r="B17" s="56"/>
      <c r="C17" s="57"/>
      <c r="D17" s="57"/>
      <c r="E17" s="57"/>
      <c r="F17" s="57"/>
      <c r="G17" s="58"/>
      <c r="H17" s="59"/>
      <c r="I17" s="104"/>
      <c r="J17" s="158"/>
      <c r="K17" s="158"/>
      <c r="L17" s="158"/>
      <c r="M17" s="129" t="s">
        <v>37</v>
      </c>
      <c r="N17" s="129"/>
      <c r="O17" s="99"/>
      <c r="P17" s="100" t="s">
        <v>22</v>
      </c>
      <c r="Q17" s="130" t="s">
        <v>43</v>
      </c>
      <c r="R17" s="131"/>
      <c r="S17" s="108"/>
      <c r="T17" s="100" t="s">
        <v>22</v>
      </c>
    </row>
    <row r="18" spans="1:22" ht="41.25" customHeight="1">
      <c r="B18" s="62"/>
      <c r="C18" s="141" t="s">
        <v>47</v>
      </c>
      <c r="D18" s="141"/>
      <c r="E18" s="142"/>
      <c r="F18" s="121">
        <v>270000</v>
      </c>
      <c r="G18" s="62" t="s">
        <v>22</v>
      </c>
      <c r="H18" s="63" t="s">
        <v>55</v>
      </c>
      <c r="I18" s="63"/>
      <c r="J18" s="109"/>
      <c r="K18" s="110"/>
      <c r="L18" s="111"/>
      <c r="M18" s="112"/>
      <c r="N18" s="60"/>
      <c r="O18" s="64"/>
      <c r="P18" s="66"/>
      <c r="Q18" s="84"/>
      <c r="R18" s="84"/>
      <c r="S18" s="65"/>
      <c r="T18" s="78"/>
      <c r="U18" s="97"/>
      <c r="V18" s="66"/>
    </row>
    <row r="19" spans="1:22" ht="41.25" customHeight="1">
      <c r="B19" s="62"/>
      <c r="C19" s="139" t="s">
        <v>45</v>
      </c>
      <c r="D19" s="139"/>
      <c r="E19" s="140"/>
      <c r="F19" s="121" t="e">
        <f>#REF!</f>
        <v>#REF!</v>
      </c>
      <c r="G19" s="62" t="s">
        <v>22</v>
      </c>
      <c r="H19" s="63"/>
      <c r="I19" s="63"/>
      <c r="J19" s="109"/>
      <c r="K19" s="110"/>
      <c r="L19" s="111"/>
      <c r="M19" s="112"/>
      <c r="N19" s="60"/>
      <c r="O19" s="64"/>
      <c r="P19" s="66"/>
      <c r="Q19" s="84"/>
      <c r="R19" s="84"/>
      <c r="S19" s="65"/>
      <c r="T19" s="78"/>
      <c r="U19" s="97"/>
      <c r="V19" s="66"/>
    </row>
    <row r="20" spans="1:22" ht="41.25" customHeight="1">
      <c r="B20" s="62"/>
      <c r="C20" s="137" t="s">
        <v>44</v>
      </c>
      <c r="D20" s="137"/>
      <c r="E20" s="138"/>
      <c r="F20" s="61" t="e">
        <f>S13-F18-F19</f>
        <v>#VALUE!</v>
      </c>
      <c r="G20" s="62" t="s">
        <v>22</v>
      </c>
      <c r="H20" s="63"/>
      <c r="I20" s="98"/>
      <c r="J20" s="98"/>
      <c r="K20" s="113"/>
      <c r="L20" s="114"/>
      <c r="M20" s="112"/>
      <c r="N20" s="60"/>
      <c r="O20" s="118"/>
      <c r="P20" s="136"/>
      <c r="Q20" s="136"/>
      <c r="R20" s="119"/>
      <c r="S20" s="119"/>
      <c r="T20" s="119"/>
      <c r="U20" s="97"/>
      <c r="V20" s="66"/>
    </row>
    <row r="21" spans="1:22" ht="36.6" customHeight="1">
      <c r="A21" s="60"/>
      <c r="B21" s="60"/>
      <c r="C21" s="64"/>
      <c r="D21" s="68"/>
      <c r="E21" s="60"/>
      <c r="F21" s="69"/>
      <c r="G21" s="62"/>
      <c r="H21" s="63"/>
      <c r="I21" s="98"/>
      <c r="J21" s="98"/>
      <c r="K21" s="113"/>
      <c r="L21" s="114"/>
      <c r="M21" s="112"/>
      <c r="N21" s="60"/>
      <c r="O21" s="118"/>
      <c r="P21" s="120"/>
      <c r="Q21" s="120"/>
      <c r="R21" s="119"/>
      <c r="S21" s="119"/>
      <c r="T21" s="119"/>
      <c r="U21" s="97"/>
      <c r="V21" s="66"/>
    </row>
    <row r="22" spans="1:22" ht="51" customHeight="1">
      <c r="A22" s="144" t="s">
        <v>38</v>
      </c>
      <c r="B22" s="144"/>
      <c r="C22" s="144"/>
      <c r="D22" s="144" t="s">
        <v>6</v>
      </c>
      <c r="E22" s="144"/>
      <c r="F22" s="144"/>
      <c r="G22" s="149" t="s">
        <v>7</v>
      </c>
      <c r="H22" s="149"/>
      <c r="I22" s="67"/>
      <c r="J22" s="144" t="s">
        <v>8</v>
      </c>
      <c r="K22" s="144"/>
      <c r="L22" s="144"/>
      <c r="M22" s="144"/>
      <c r="N22" s="144"/>
      <c r="O22" s="63"/>
      <c r="P22" s="71"/>
      <c r="Q22" s="84"/>
      <c r="R22" s="124" t="s">
        <v>49</v>
      </c>
      <c r="S22" s="124"/>
      <c r="T22" s="124"/>
    </row>
    <row r="23" spans="1:22" ht="48.75" customHeight="1">
      <c r="A23" s="60"/>
      <c r="B23" s="60"/>
      <c r="C23" s="64"/>
      <c r="D23" s="68"/>
      <c r="E23" s="60"/>
      <c r="F23" s="69"/>
      <c r="G23" s="70"/>
      <c r="H23" s="64"/>
      <c r="I23" s="64"/>
      <c r="J23" s="85"/>
      <c r="K23" s="64"/>
      <c r="L23" s="64"/>
      <c r="M23" s="60"/>
      <c r="N23" s="60"/>
      <c r="O23" s="64"/>
      <c r="P23" s="60"/>
      <c r="Q23" s="85"/>
      <c r="R23" s="124"/>
      <c r="S23" s="124"/>
      <c r="T23" s="124"/>
    </row>
    <row r="24" spans="1:22" ht="58.2" customHeight="1">
      <c r="A24" s="60"/>
      <c r="B24" s="60"/>
      <c r="C24" s="64"/>
      <c r="D24" s="68"/>
      <c r="E24" s="60"/>
      <c r="F24" s="69"/>
      <c r="G24" s="70"/>
      <c r="H24" s="64"/>
      <c r="I24" s="64"/>
      <c r="J24" s="85"/>
      <c r="K24" s="64"/>
      <c r="L24" s="64"/>
      <c r="M24" s="60"/>
      <c r="N24" s="60"/>
      <c r="O24" s="64"/>
      <c r="P24" s="60"/>
      <c r="Q24" s="85"/>
      <c r="R24" s="124"/>
      <c r="S24" s="124"/>
      <c r="T24" s="124"/>
    </row>
    <row r="25" spans="1:22" ht="48.75" customHeight="1">
      <c r="A25" s="60"/>
      <c r="B25" s="60"/>
      <c r="C25" s="64"/>
      <c r="D25" s="68"/>
      <c r="E25" s="60"/>
      <c r="F25" s="69"/>
      <c r="G25" s="70"/>
      <c r="H25" s="64"/>
      <c r="I25" s="64"/>
      <c r="J25" s="85"/>
      <c r="K25" s="64"/>
      <c r="L25" s="64"/>
      <c r="M25" s="60"/>
      <c r="N25" s="60"/>
      <c r="O25" s="64"/>
      <c r="P25" s="60"/>
      <c r="Q25" s="85"/>
      <c r="R25" s="124"/>
      <c r="S25" s="124"/>
      <c r="T25" s="124"/>
    </row>
    <row r="26" spans="1:22" ht="51.6" customHeight="1">
      <c r="A26" s="154" t="str">
        <f>+C6</f>
        <v>{User}</v>
      </c>
      <c r="B26" s="154"/>
      <c r="C26" s="154"/>
      <c r="D26" s="134"/>
      <c r="E26" s="134"/>
      <c r="F26" s="134"/>
      <c r="G26" s="153" t="s">
        <v>48</v>
      </c>
      <c r="H26" s="153"/>
      <c r="I26" s="16"/>
      <c r="J26" s="135"/>
      <c r="K26" s="135"/>
      <c r="L26" s="135"/>
      <c r="M26" s="135"/>
      <c r="N26" s="135"/>
      <c r="O26" s="16"/>
      <c r="P26" s="27"/>
      <c r="Q26" s="18"/>
      <c r="R26" s="124"/>
      <c r="S26" s="124"/>
      <c r="T26" s="124"/>
    </row>
    <row r="27" spans="1:22" ht="114" customHeight="1">
      <c r="A27" s="143"/>
      <c r="B27" s="143"/>
      <c r="C27" s="143"/>
      <c r="D27" s="147"/>
      <c r="E27" s="147"/>
      <c r="F27" s="147"/>
      <c r="G27" s="148"/>
      <c r="H27" s="148"/>
      <c r="I27" s="29"/>
      <c r="J27" s="147"/>
      <c r="K27" s="147"/>
      <c r="L27" s="147"/>
      <c r="M27" s="147"/>
      <c r="N27" s="147"/>
      <c r="O27" s="43"/>
      <c r="P27" s="29"/>
      <c r="Q27" s="18"/>
    </row>
    <row r="28" spans="1:22" ht="23.25" customHeight="1">
      <c r="A28" s="32"/>
      <c r="B28" s="32"/>
      <c r="C28" s="16"/>
      <c r="D28" s="26"/>
      <c r="E28" s="27"/>
      <c r="F28" s="30"/>
      <c r="G28" s="31"/>
      <c r="H28" s="16"/>
      <c r="I28" s="16"/>
      <c r="J28" s="18"/>
      <c r="K28" s="16"/>
      <c r="L28" s="16"/>
      <c r="M28" s="27"/>
      <c r="N28" s="27"/>
      <c r="O28" s="16"/>
      <c r="P28" s="27"/>
      <c r="Q28" s="18"/>
      <c r="R28" s="18"/>
      <c r="S28" s="28"/>
      <c r="T28" s="75"/>
    </row>
    <row r="29" spans="1:22" ht="23.25" customHeight="1">
      <c r="A29" s="33"/>
      <c r="B29" s="33"/>
      <c r="C29" s="34"/>
      <c r="D29" s="26"/>
      <c r="E29" s="35"/>
      <c r="F29" s="36"/>
      <c r="G29" s="37"/>
      <c r="H29" s="34"/>
      <c r="I29" s="34"/>
      <c r="J29" s="18"/>
      <c r="K29" s="16"/>
      <c r="L29" s="16"/>
      <c r="M29" s="27"/>
      <c r="N29" s="27"/>
      <c r="O29" s="16"/>
      <c r="P29" s="27"/>
      <c r="Q29" s="18"/>
      <c r="R29" s="18"/>
      <c r="S29" s="28"/>
      <c r="T29" s="75"/>
    </row>
    <row r="30" spans="1:22" s="9" customFormat="1" ht="24" customHeight="1">
      <c r="A30" s="33"/>
      <c r="B30" s="33"/>
      <c r="C30" s="34"/>
      <c r="D30" s="26"/>
      <c r="E30" s="35"/>
      <c r="F30" s="36"/>
      <c r="G30" s="37"/>
      <c r="H30" s="34"/>
      <c r="I30" s="34"/>
      <c r="J30" s="18"/>
      <c r="K30" s="16"/>
      <c r="L30" s="16"/>
      <c r="M30" s="27"/>
      <c r="N30" s="27"/>
      <c r="O30" s="16"/>
      <c r="P30" s="27"/>
      <c r="Q30" s="86"/>
      <c r="R30" s="86"/>
      <c r="S30" s="38"/>
      <c r="T30" s="79"/>
    </row>
    <row r="31" spans="1:22" ht="17.25" customHeight="1">
      <c r="A31" s="35"/>
      <c r="B31" s="35"/>
      <c r="C31" s="34"/>
      <c r="D31" s="26"/>
      <c r="E31" s="35"/>
      <c r="F31" s="36"/>
      <c r="G31" s="37"/>
      <c r="H31" s="34"/>
      <c r="I31" s="34"/>
      <c r="J31" s="18"/>
      <c r="K31" s="16"/>
      <c r="L31" s="16"/>
      <c r="M31" s="27"/>
      <c r="N31" s="27"/>
      <c r="O31" s="16"/>
      <c r="P31" s="27"/>
      <c r="Q31" s="18"/>
      <c r="R31" s="18"/>
      <c r="S31" s="28"/>
      <c r="T31" s="75"/>
    </row>
    <row r="32" spans="1:22" ht="17.25" customHeight="1">
      <c r="A32" s="39"/>
      <c r="B32" s="39"/>
      <c r="C32" s="39"/>
      <c r="D32" s="32"/>
      <c r="E32" s="32"/>
      <c r="F32" s="40"/>
      <c r="G32" s="41"/>
      <c r="H32" s="42"/>
      <c r="I32" s="42"/>
      <c r="J32" s="90"/>
      <c r="K32" s="39"/>
      <c r="L32" s="39"/>
      <c r="M32" s="32"/>
      <c r="N32" s="32"/>
      <c r="O32" s="39"/>
      <c r="P32" s="32"/>
      <c r="Q32" s="18"/>
      <c r="R32" s="18"/>
      <c r="S32" s="28"/>
      <c r="T32" s="75"/>
    </row>
    <row r="33" spans="1:20" ht="17.25" customHeight="1">
      <c r="A33" s="27"/>
      <c r="B33" s="27"/>
      <c r="C33" s="16"/>
      <c r="D33" s="26"/>
      <c r="E33" s="27"/>
      <c r="F33" s="30"/>
      <c r="G33" s="31"/>
      <c r="H33" s="16"/>
      <c r="I33" s="16"/>
      <c r="J33" s="18"/>
      <c r="K33" s="16"/>
      <c r="L33" s="16"/>
      <c r="M33" s="27"/>
      <c r="N33" s="27"/>
      <c r="O33" s="16"/>
      <c r="P33" s="27"/>
      <c r="Q33" s="18"/>
      <c r="R33" s="18"/>
      <c r="S33" s="28"/>
      <c r="T33" s="75"/>
    </row>
    <row r="34" spans="1:20" ht="17.25" customHeight="1">
      <c r="A34" s="27"/>
      <c r="B34" s="27"/>
      <c r="C34" s="16"/>
      <c r="D34" s="26"/>
      <c r="E34" s="27"/>
      <c r="F34" s="30"/>
      <c r="G34" s="31"/>
      <c r="H34" s="16"/>
      <c r="I34" s="16"/>
      <c r="J34" s="18"/>
      <c r="K34" s="16"/>
      <c r="L34" s="16"/>
      <c r="M34" s="27"/>
      <c r="N34" s="27"/>
      <c r="O34" s="16"/>
      <c r="P34" s="27"/>
      <c r="Q34" s="18"/>
      <c r="R34" s="18"/>
      <c r="S34" s="28"/>
      <c r="T34" s="75"/>
    </row>
    <row r="35" spans="1:20" ht="13.5" customHeight="1">
      <c r="A35" s="27"/>
      <c r="B35" s="27"/>
      <c r="C35" s="16"/>
      <c r="D35" s="26"/>
      <c r="E35" s="27"/>
      <c r="F35" s="30"/>
      <c r="G35" s="31"/>
      <c r="H35" s="16"/>
      <c r="I35" s="16"/>
      <c r="J35" s="18"/>
      <c r="K35" s="16"/>
      <c r="L35" s="16"/>
      <c r="M35" s="27"/>
      <c r="N35" s="27"/>
      <c r="O35" s="16"/>
      <c r="P35" s="27"/>
      <c r="Q35" s="18"/>
      <c r="R35" s="18"/>
      <c r="S35" s="28"/>
      <c r="T35" s="75"/>
    </row>
    <row r="36" spans="1:20" ht="13.5" customHeight="1"/>
    <row r="37" spans="1:20" ht="13.5" customHeight="1"/>
    <row r="38" spans="1:20" ht="13.5" customHeight="1">
      <c r="A38" s="8"/>
      <c r="B38" s="8"/>
    </row>
    <row r="39" spans="1:20" s="10" customFormat="1" ht="13.5" customHeight="1">
      <c r="A39" s="6"/>
      <c r="B39" s="6"/>
      <c r="C39" s="2"/>
      <c r="D39" s="7"/>
      <c r="E39" s="6"/>
      <c r="F39" s="5"/>
      <c r="G39" s="11"/>
      <c r="H39" s="2"/>
      <c r="I39" s="2"/>
      <c r="J39" s="4"/>
      <c r="K39" s="2"/>
      <c r="L39" s="2"/>
      <c r="M39" s="6"/>
      <c r="N39" s="6"/>
      <c r="O39" s="2"/>
      <c r="P39" s="6"/>
      <c r="Q39" s="87"/>
      <c r="R39" s="87"/>
      <c r="S39" s="3"/>
      <c r="T39" s="80"/>
    </row>
    <row r="40" spans="1:20" ht="13.5" customHeight="1"/>
    <row r="41" spans="1:20" s="6" customFormat="1" ht="13.5" customHeight="1">
      <c r="C41" s="2"/>
      <c r="D41" s="7"/>
      <c r="F41" s="5"/>
      <c r="G41" s="11"/>
      <c r="H41" s="2"/>
      <c r="I41" s="2"/>
      <c r="J41" s="4"/>
      <c r="K41" s="2"/>
      <c r="L41" s="2"/>
      <c r="O41" s="2"/>
      <c r="Q41" s="4"/>
      <c r="R41" s="4"/>
      <c r="S41" s="3"/>
      <c r="T41" s="80"/>
    </row>
  </sheetData>
  <mergeCells count="41">
    <mergeCell ref="G1:T1"/>
    <mergeCell ref="A4:T4"/>
    <mergeCell ref="G2:T2"/>
    <mergeCell ref="G3:T3"/>
    <mergeCell ref="J16:L17"/>
    <mergeCell ref="M16:N16"/>
    <mergeCell ref="M17:N17"/>
    <mergeCell ref="D10:F10"/>
    <mergeCell ref="G10:H10"/>
    <mergeCell ref="E5:G5"/>
    <mergeCell ref="A27:C27"/>
    <mergeCell ref="A22:C22"/>
    <mergeCell ref="D22:F22"/>
    <mergeCell ref="K5:N5"/>
    <mergeCell ref="B13:D13"/>
    <mergeCell ref="D27:F27"/>
    <mergeCell ref="G27:H27"/>
    <mergeCell ref="G22:H22"/>
    <mergeCell ref="J22:N22"/>
    <mergeCell ref="J27:N27"/>
    <mergeCell ref="J13:K13"/>
    <mergeCell ref="L13:M13"/>
    <mergeCell ref="E13:F13"/>
    <mergeCell ref="C14:D14"/>
    <mergeCell ref="G26:H26"/>
    <mergeCell ref="A26:C26"/>
    <mergeCell ref="R22:T26"/>
    <mergeCell ref="E14:F14"/>
    <mergeCell ref="J14:L15"/>
    <mergeCell ref="M14:N14"/>
    <mergeCell ref="M15:N15"/>
    <mergeCell ref="Q17:R17"/>
    <mergeCell ref="Q16:R16"/>
    <mergeCell ref="Q15:R15"/>
    <mergeCell ref="Q14:R14"/>
    <mergeCell ref="D26:F26"/>
    <mergeCell ref="J26:N26"/>
    <mergeCell ref="P20:Q20"/>
    <mergeCell ref="C20:E20"/>
    <mergeCell ref="C19:E19"/>
    <mergeCell ref="C18:E18"/>
  </mergeCells>
  <phoneticPr fontId="27" type="noConversion"/>
  <hyperlinks>
    <hyperlink ref="S12" r:id="rId1" display="https://shopee.vn/20-N%C3%BAt-%C4%91%E1%BB%87m-cao-su-3M-SJ5312-(N%C3%BAt-d%E1%BA%B9t)-V%C3%A0-30-N%C3%BAt-3MSJ5302-(N%C3%BAt-V%C3%B2m-Nh%E1%BB%8F)-i.50663522.7926817811?sp_atk=12653609-96c4-49c5-ad3a-5eb6b2bceb18&amp;xptdk=12653609-96c4-49c5-ad3a-5eb6b2bceb18" xr:uid="{D54FCF15-44CA-4D35-98AB-373902F611F2}"/>
  </hyperlinks>
  <pageMargins left="0.23622047244094491" right="0.23622047244094491" top="0.27559055118110237" bottom="0.19685039370078741" header="0.31496062992125984" footer="0.15748031496062992"/>
  <pageSetup paperSize="9" scale="33" orientation="landscape" r:id="rId2"/>
  <headerFooter alignWithMargins="0"/>
  <rowBreaks count="1" manualBreakCount="1">
    <brk id="35" max="16383" man="1"/>
  </rowBreaks>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ĐNTU</vt:lpstr>
      <vt:lpstr>ĐNTU!Print_Area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NguyenHongAnh</dc:creator>
  <cp:lastModifiedBy>Windows User</cp:lastModifiedBy>
  <cp:lastPrinted>2026-01-02T06:49:04Z</cp:lastPrinted>
  <dcterms:created xsi:type="dcterms:W3CDTF">2023-05-12T04:43:23Z</dcterms:created>
  <dcterms:modified xsi:type="dcterms:W3CDTF">2026-05-04T07:32:14Z</dcterms:modified>
</cp:coreProperties>
</file>